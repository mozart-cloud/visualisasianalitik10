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<sst xmlns="http://schemas.openxmlformats.org/spreadsheetml/2006/main" count="981" uniqueCount="446">
  <si>
    <t>periode_data</t>
  </si>
  <si>
    <t>wilayah</t>
  </si>
  <si>
    <t>jenjang</t>
  </si>
  <si>
    <t>nama_sekolah</t>
  </si>
  <si>
    <t>npsn</t>
  </si>
  <si>
    <t>alamat</t>
  </si>
  <si>
    <t>jumlah_siswa</t>
  </si>
  <si>
    <t>Latitude</t>
  </si>
  <si>
    <t>Longitude</t>
  </si>
  <si>
    <t>KOTA ADM. JAKARTA PUSAT</t>
  </si>
  <si>
    <t>SMA</t>
  </si>
  <si>
    <t>SMA MAHATMA GANDHI SCHOOL</t>
  </si>
  <si>
    <t>JL. TABING BLOK B -16 NO. 3 RT.08 RW.07</t>
  </si>
  <si>
    <t>SMP</t>
  </si>
  <si>
    <t>SMP UNIVERSAL SCHOOL</t>
  </si>
  <si>
    <t>JL. RUAS BLOK D6 NO 2 KOTA BARU</t>
  </si>
  <si>
    <t>SMP MAHATMA GANDHI SCHOOL</t>
  </si>
  <si>
    <t>JL. TABING BLOK B-16 NO.3 KOMP. A. PURA</t>
  </si>
  <si>
    <t>KOTA ADM. JAKARTA UTARA</t>
  </si>
  <si>
    <t>SMAS GANDHI ANCOL</t>
  </si>
  <si>
    <t>JL. PANGANDARAN IX BLOK B4 NO. 1</t>
  </si>
  <si>
    <t>SMA SAINT NICHOLAS</t>
  </si>
  <si>
    <t>JL. PANTAI INDAH UTARA SEKTOR TIMUR BLOK S NO. 8 PIK JAKARTA UTARA</t>
  </si>
  <si>
    <t>KOTA ADM. JAKARTA SELATAN</t>
  </si>
  <si>
    <t>SD</t>
  </si>
  <si>
    <t>SD LENTERA INDONESIA</t>
  </si>
  <si>
    <t>JL. SULTAN ISKANDAR MUDA NO 98 ARTERI PONDOK INDAH</t>
  </si>
  <si>
    <t>SMP CITA BUANA</t>
  </si>
  <si>
    <t>JL. PASO NO.84</t>
  </si>
  <si>
    <t>SDS CITA BUANA</t>
  </si>
  <si>
    <t>JL. PASO NO. 84</t>
  </si>
  <si>
    <t>SD ISLAM AL JABR</t>
  </si>
  <si>
    <t>JL. BANGO II NO. 34</t>
  </si>
  <si>
    <t>SDS EMERALD JAKARTA</t>
  </si>
  <si>
    <t>JALAN KENANGA 18/38</t>
  </si>
  <si>
    <t>KOTA ADM. JAKARTA BARAT</t>
  </si>
  <si>
    <t>SMAS BUKIT SION</t>
  </si>
  <si>
    <t>TAMAN KEBON JERUK BLOK GA 1</t>
  </si>
  <si>
    <t>SMA BINA BANGSA SCHOOL</t>
  </si>
  <si>
    <t>JL. ARJUNA SELATAN KAV. 87</t>
  </si>
  <si>
    <t>SMAS GLOBAL SEVILLA PURI INDAH</t>
  </si>
  <si>
    <t>JL. KEMBANGAN RAYA BLOK JJ PURI INDAH</t>
  </si>
  <si>
    <t>SMAK IPEKA INTEGRATED CHRISTIAN SCHOOL</t>
  </si>
  <si>
    <t>KOMPLEK TAMAN MERUYA ILIR JL. BATU MULIA BLOK K JAKARTA BARAT</t>
  </si>
  <si>
    <t>SMAS TUNAS MUDA</t>
  </si>
  <si>
    <t>JL.MERUYA UTARA RAYA NO.71</t>
  </si>
  <si>
    <t>SD UNIVERSAL</t>
  </si>
  <si>
    <t>JL. RUAS BLOK D6 NO.2 KOTA BARU BANDAR KEMAYORAN</t>
  </si>
  <si>
    <t>SD LENTERA KASIH JAKARTA UTARA</t>
  </si>
  <si>
    <t>JL. SUNTER PERMAI RAYA NO 8</t>
  </si>
  <si>
    <t>SDS PELANGI KASIH</t>
  </si>
  <si>
    <t>JL. PANTAI INDAH TIMUR, TAMAN GRISENDA BLOK A1/28</t>
  </si>
  <si>
    <t>SDS BINA BANGSA</t>
  </si>
  <si>
    <t>JL BUDHI 87 RT 002/04</t>
  </si>
  <si>
    <t>SDS BUKIT SION</t>
  </si>
  <si>
    <t>TAMAN KEBON JERUK BLOK G 7</t>
  </si>
  <si>
    <t>SD ICHTHUS SCHOOL</t>
  </si>
  <si>
    <t>JL. SURYA MANDALA III BLOK N 2/11</t>
  </si>
  <si>
    <t>SDS KANAAN GLOBAL SCHOOL</t>
  </si>
  <si>
    <t>JL. BOULEVARD BLOK L2 PERUM TAMAN SURYA III</t>
  </si>
  <si>
    <t>SD TUNAS MUDA SCHOOL KEDOYA</t>
  </si>
  <si>
    <t>JL. KEDOYA ANGSANA RAYA D8/2</t>
  </si>
  <si>
    <t>SD HIGHSCOPE INDONESIA</t>
  </si>
  <si>
    <t>JL. TB SIMATUPANG NO.8</t>
  </si>
  <si>
    <t>SD BINA GITA GEMILANG</t>
  </si>
  <si>
    <t>JL. PROF. SOEPOMO NO. 11</t>
  </si>
  <si>
    <t>SD MENTARI INTERCULTURAL SCHOOL JAKARTA</t>
  </si>
  <si>
    <t>JL. H. JIAN NO. 6</t>
  </si>
  <si>
    <t>SMP PERKUMPULAN MANDIRI</t>
  </si>
  <si>
    <t>JL. DR. GSSY RATULANGI NO.5</t>
  </si>
  <si>
    <t>SMP GANDHI</t>
  </si>
  <si>
    <t>JL. PANGANDARAN I BLOK B-4</t>
  </si>
  <si>
    <t>SMP SAINT NICHOLAS</t>
  </si>
  <si>
    <t>JL. PANTAI INDAH UTARA SEKTOR TIMUR BLOK S NO. 8 PIK</t>
  </si>
  <si>
    <t>SMPK IPEKA INTEGRATED CHRISTIAN SCHOOL</t>
  </si>
  <si>
    <t>KOMPLEK TAMAN MERUYA ILIR BLOK K</t>
  </si>
  <si>
    <t>SMP HIGHSCOPE INDONESIA</t>
  </si>
  <si>
    <t>JL. TB. SIMATUPANG NO. 8</t>
  </si>
  <si>
    <t>KOTA ADM. JAKARTA TIMUR</t>
  </si>
  <si>
    <t>SMA ACS JAKARTA</t>
  </si>
  <si>
    <t>JL. BANTAR JATI SETU</t>
  </si>
  <si>
    <t>SMAS UNIVERSAL</t>
  </si>
  <si>
    <t>JL. RUAS D. 7 BLOK D 6 NO. 2</t>
  </si>
  <si>
    <t>SMAS BINA NUSANTARA</t>
  </si>
  <si>
    <t>JL. SULTAN ISKANDAR MUDA G. 8</t>
  </si>
  <si>
    <t>SMAS CITA BUANA</t>
  </si>
  <si>
    <t>JL. PASO 84</t>
  </si>
  <si>
    <t>SMA BINA TUNAS BANGSA</t>
  </si>
  <si>
    <t>JL.TAMAN PLUIT PUTRI</t>
  </si>
  <si>
    <t>SMP EMERALD</t>
  </si>
  <si>
    <t>JL. KENANGA 18/38</t>
  </si>
  <si>
    <t>SDK IPEKA INTEGRATED CHRISTIAN SCHOOL</t>
  </si>
  <si>
    <t>KOMP TAMAN MERUYA ILIR JL. BATU MULIA BLOK K, JAKARTA BARAT</t>
  </si>
  <si>
    <t>SMP KRISTEN BUKIT SION</t>
  </si>
  <si>
    <t>SD ACS JAKARTA</t>
  </si>
  <si>
    <t>JL. BANTARJATI RT. 007/02</t>
  </si>
  <si>
    <t>SDS GLOBAL SEVILLA PURI INDAH</t>
  </si>
  <si>
    <t>SDS HIGH SCOPE IND. UNIT ALFA INDAH</t>
  </si>
  <si>
    <t>JL. TAMAN ALFA INDAH BLOK A/9</t>
  </si>
  <si>
    <t>SDS KAIROS GRACIA</t>
  </si>
  <si>
    <t>JL. CITRA GARDEN II BLOK P6/I</t>
  </si>
  <si>
    <t>SD GLOBAL SEVILLA PULO MAS</t>
  </si>
  <si>
    <t>JL. PULO MAS JAYA NO. 1, PACUAN KUDA PULO MAS, PULOGADUNG, JAKARTA TIMUR 13210</t>
  </si>
  <si>
    <t>SDS MONTESSORI GADING PERMATA</t>
  </si>
  <si>
    <t>JL. BOULEVARD ARTHA GADING KAV.D NO.10</t>
  </si>
  <si>
    <t>SDS NARADA</t>
  </si>
  <si>
    <t>PERUM KOSAMBI BARU BLOK.A EXT.1</t>
  </si>
  <si>
    <t>SD GLOBAL NUSANTARA SCHOOL</t>
  </si>
  <si>
    <t>JL. TAMAN MERUYA ILIR BLOK L NO.1</t>
  </si>
  <si>
    <t>SMP ACS JAKARTA</t>
  </si>
  <si>
    <t>JALAN BANTAR JATI</t>
  </si>
  <si>
    <t>SD TUNAS MUDA SCHOOL</t>
  </si>
  <si>
    <t>JL. MERUYA UTARA RAYA NO. 71</t>
  </si>
  <si>
    <t>SD SINGAPORE SCHOOL</t>
  </si>
  <si>
    <t>JAKARTA GARDEN CITY</t>
  </si>
  <si>
    <t>SD SINGAPORE SCHOOL PANTAI INDAH KAPUK</t>
  </si>
  <si>
    <t>JL. MANDARA INDAH 4 PANTAI INDAH KAPUK</t>
  </si>
  <si>
    <t>SMP GLOBAL SEVILLA PURI INDAH</t>
  </si>
  <si>
    <t>SMP MENTARI INTERCULTURAL SCHOOL JAKARTA</t>
  </si>
  <si>
    <t>SD SPRINGFIELD</t>
  </si>
  <si>
    <t>JL. PULAU SEBARU BLOK L4 NO. 1, PERUMAHAN PERMATA BUANA</t>
  </si>
  <si>
    <t>SMP LENTERA INDONESIA JAKARTA</t>
  </si>
  <si>
    <t>JL SULTAN ISKANDAR MUDA NO 98 ARTERI PONDOK INDAH</t>
  </si>
  <si>
    <t>SD SEKOLAH HIGHSCOPE INDONESIA JAKARTA KELAPA GADING</t>
  </si>
  <si>
    <t>JL. PEGANGSAAN DUA NO. 22, KELAPA GADING, JAKARTA UTARA 14250</t>
  </si>
  <si>
    <t>SDS ICHTHUS SCHOOL</t>
  </si>
  <si>
    <t>JL. H. BATONG I 1A / JL. CARINGIN BARAT I</t>
  </si>
  <si>
    <t>SDS PERMAI SCHOOL</t>
  </si>
  <si>
    <t>JL.PLUIT KARANG BLOK O-VI</t>
  </si>
  <si>
    <t>SMP KRISTEN 8 PENABUR</t>
  </si>
  <si>
    <t>JL. TANJUNG DUREN RAYA NO 4</t>
  </si>
  <si>
    <t>SMP PELANGI KASIH</t>
  </si>
  <si>
    <t>TAMAN GRISENDA BLOK A1 NO. 28</t>
  </si>
  <si>
    <t>SDS JAKARTA MONTESSORI</t>
  </si>
  <si>
    <t>JALAN DURIAN NO.10 JAGAKARSA.</t>
  </si>
  <si>
    <t>SD RAFFLES CHRISTIAN SCHOOL KEBON JERUK</t>
  </si>
  <si>
    <t>JL. RAYA MERUYA ILIR NO 89</t>
  </si>
  <si>
    <t>SD BINA TUNAS BANGSA SCHOOL</t>
  </si>
  <si>
    <t>JL. PLUIT TIMUR BLOK MM</t>
  </si>
  <si>
    <t>SMP BINA BANGSA KEBON JERUK</t>
  </si>
  <si>
    <t>SMP GLOBAL SEVILLA PULO MAS</t>
  </si>
  <si>
    <t>JL. PULO MAS JAYA PACUAN KUDA</t>
  </si>
  <si>
    <t>SMP BINA TUNAS BANGSA SCHOOL</t>
  </si>
  <si>
    <t>SD NATIONALHIGH JAKARTA SCHOOL</t>
  </si>
  <si>
    <t>JL. POS PENGUMBEN NO.41</t>
  </si>
  <si>
    <t>SMP NATIONALHIGH JAKARTA SCHOOL</t>
  </si>
  <si>
    <t>JL. RAYA POS PENGUMBEN NO 41 RT 06/03</t>
  </si>
  <si>
    <t>SMP BINA BANGSA SCHOOL PANTAI INDAH KAPUK</t>
  </si>
  <si>
    <t>WALET ELOK 8 BLOK R8 NO 1, PANTAI INDAH KAPUK</t>
  </si>
  <si>
    <t>SD BINA BANGSA SCHOOL PANTAI INDAH KAPUK</t>
  </si>
  <si>
    <t>JL. WALET ELOK 8 BLOK R8 NO. 1, PANTAI INDAH KAPUK</t>
  </si>
  <si>
    <t>SMP SINGAPORE SCHOOL</t>
  </si>
  <si>
    <t>JL. LAKE GARDEN BOULEVARD JAKARTA GARDEN CITY CAKUNG, JAKARTA TIMUR 13910</t>
  </si>
  <si>
    <t>SMP SINGAPORE SCHOOL PANTAI INDAH KAPUK</t>
  </si>
  <si>
    <t>SMP KAIROS GRACIA</t>
  </si>
  <si>
    <t>CITRA GARDEN 7 BLOK B1/1</t>
  </si>
  <si>
    <t>SMAS HIGH SCOPE</t>
  </si>
  <si>
    <t>SMP LENTERA KASIH</t>
  </si>
  <si>
    <t>JL. SUNTER PERMAI RAYA RT 014/ RW 007 NO. 8</t>
  </si>
  <si>
    <t>SMA SINGAPORE SCHOOL KELAPA GADING</t>
  </si>
  <si>
    <t>L. LAKE GARDEN BOULEVARD JAKARTA GARDEN CITY CAKUNG, JAKARTA TIMUR 13910</t>
  </si>
  <si>
    <t>SMA SINGAPORE SCHOOL PANTAI INDAH KAPUK</t>
  </si>
  <si>
    <t>JL. MANDARA INDAH NO.4</t>
  </si>
  <si>
    <t>SD BINA NUSANTARA SIMPRUG</t>
  </si>
  <si>
    <t>JL. SULTAN ISKANDAR MUDA KAV. G-8</t>
  </si>
  <si>
    <t>SMA NORTH JAKARTA INTERCULTURAL SCHOOL</t>
  </si>
  <si>
    <t>JL. BOULEVARD BUKIT GADING RAYA</t>
  </si>
  <si>
    <t>PAUD</t>
  </si>
  <si>
    <t>TK TUTOR TIME</t>
  </si>
  <si>
    <t>RUKO GADING BUKIT INDAH BLOK O 15-16</t>
  </si>
  <si>
    <t>SD PELITA HARAPAN</t>
  </si>
  <si>
    <t>JL. PANGERAN ANTASARI NO 36</t>
  </si>
  <si>
    <t>SMA PELITA HARAPAN KEMANG VILLAGE</t>
  </si>
  <si>
    <t>JL. PANGERAN ANTASARI NO. 36</t>
  </si>
  <si>
    <t>EDUKIDZ ASIA</t>
  </si>
  <si>
    <t>JL. KRAMAT I, RT. 001, RW. 002</t>
  </si>
  <si>
    <t>SD ROYAL TUNAS MULIA</t>
  </si>
  <si>
    <t>JL. KUNINGAN UTAMA LOT. 15</t>
  </si>
  <si>
    <t>SD SAINT PETER SCHOOL</t>
  </si>
  <si>
    <t>JL. RAYA BOULEVARD TIMUR NO. 8</t>
  </si>
  <si>
    <t>SMP SAINT PETER SCHOOL</t>
  </si>
  <si>
    <t>JL. BOULEVARD TIMUR RAYA NO. 8</t>
  </si>
  <si>
    <t>SMA SAINT PETER SCHOOL</t>
  </si>
  <si>
    <t>JL.BOULEVARD TIMUR RAYA NO. 8</t>
  </si>
  <si>
    <t>TK TZU CHI</t>
  </si>
  <si>
    <t>JL. PANTAI INDAH KAPUK BOULEVERD RT.06/RW.02</t>
  </si>
  <si>
    <t>TK PELITA HARAPAN</t>
  </si>
  <si>
    <t>JL. PANGERAN ANTASARI KEMANG</t>
  </si>
  <si>
    <t>SD RAFFLES CHRISTIAN SCHOOL PONDOK INDAH</t>
  </si>
  <si>
    <t>JL. GEDUNG HIJAU RAYA I NO. 1</t>
  </si>
  <si>
    <t>SMP RAFFLES CHRISTIAN SCHOOL PONDOK INDAH</t>
  </si>
  <si>
    <t>SD JAKARTA TAIPEI SCHOOL</t>
  </si>
  <si>
    <t>JL. RAYA KELAPA HYBRIDA BLOK QH</t>
  </si>
  <si>
    <t>SMP JAKARTA TAIPEI SCHOOL</t>
  </si>
  <si>
    <t>SD JAKARTA INTERCULTURAL SCHOOL DI PONDOK INDAH</t>
  </si>
  <si>
    <t>JL DUTA INDAH III PONDOK INDAH</t>
  </si>
  <si>
    <t>SMP AUSTRALIAN INDEPENDENT SCHOOL INDONESIA JAKARTA</t>
  </si>
  <si>
    <t>JL PEJATEN BARAT RAYA NO 69</t>
  </si>
  <si>
    <t>SD JAKARTA INTERCULTURAL SCHOOL PATTIMURA</t>
  </si>
  <si>
    <t>JL. PATTIMURA BLOK I NO 2</t>
  </si>
  <si>
    <t>SMA NATIONALHIGH JAKARTA SCHOOL</t>
  </si>
  <si>
    <t>JL. RAYA POS PENGUMBEN NO.41</t>
  </si>
  <si>
    <t>SD BEACON ACADEMY</t>
  </si>
  <si>
    <t>JL. PEGANGSAAN DUA NO.66</t>
  </si>
  <si>
    <t>SMP BEACON ACADEMY</t>
  </si>
  <si>
    <t>JL. PEGANGSAAN DUA RAYA NO. 66</t>
  </si>
  <si>
    <t>SD BUNDA MULIA SCHOOL</t>
  </si>
  <si>
    <t>JL. LODAN RAYA NO 2</t>
  </si>
  <si>
    <t>SMP BUNDA MULIA SCHOOL</t>
  </si>
  <si>
    <t>SMA BUNDA MULIA SCHOOL</t>
  </si>
  <si>
    <t>JL. LODAN RAYA NO.2</t>
  </si>
  <si>
    <t>SD NEW ZEALAND INDEPENDENT SCHOOL</t>
  </si>
  <si>
    <t>JL. KEMANG SELATAN I NO 1A</t>
  </si>
  <si>
    <t>SMP NEW ZEALAND INDEPENDENT SCHOOL</t>
  </si>
  <si>
    <t>JL. KEMANG SELATAN 1 NO.1A</t>
  </si>
  <si>
    <t>SD AUSTRALIAN INDEPENDENT SCHOOL INDONESIA JAKARTA</t>
  </si>
  <si>
    <t>JL.PEJATEN BARAT RAYA NO. 69</t>
  </si>
  <si>
    <t>SMA AUSTRALIAN INDEPENDENT SCHOOL INDONESIA JAKARTA</t>
  </si>
  <si>
    <t>JL PEJATEN BARAT RAYA NO 68</t>
  </si>
  <si>
    <t>SD MAHATMA GADING INTERCULTURAL SCHOOL</t>
  </si>
  <si>
    <t>JL. BOULEVARD BGR KOMPLEK VILLA GADING INDAH BLOK Q</t>
  </si>
  <si>
    <t>SMP MAHATMA GADING INTERCULTURAL SCHOOL</t>
  </si>
  <si>
    <t>SMA MAHATMA GADING INTERCULTURAL SCHOOL</t>
  </si>
  <si>
    <t>SMP PELITA HARAPAN</t>
  </si>
  <si>
    <t>JL. PANGERAN ANTASARI 36 KEMANG VILLAGE</t>
  </si>
  <si>
    <t>SD HERITAGE SCHOOL JAKARTA</t>
  </si>
  <si>
    <t>JL. LETJEN SOEPONO NO 34</t>
  </si>
  <si>
    <t>SMP HERITAGE SCHOOL JAKARTA</t>
  </si>
  <si>
    <t>SMP EL SHADDAI INTERCONTINENTAL SCHOOL</t>
  </si>
  <si>
    <t>JLN. POS PENGUMBEN RAYA NO. 40</t>
  </si>
  <si>
    <t>SMP SINGAPORE INTERCULTURAL SCHOOL</t>
  </si>
  <si>
    <t>JALAN BONA VISTA RAYA</t>
  </si>
  <si>
    <t>SD SINGAPORE INTERCULTURAL SCHOOL</t>
  </si>
  <si>
    <t>TK SINGAPORE SCHOOL, BONA VISTA</t>
  </si>
  <si>
    <t>KB SINGAPORE SCHOOL, BONA VISTA</t>
  </si>
  <si>
    <t>SMA SINGAPORE INTERCULTURAL SCHOOL</t>
  </si>
  <si>
    <t>JL. BONA VISTA RAYA, LEBAK BULUS JAKARTA SELATAN 12440</t>
  </si>
  <si>
    <t>SMAS EL SHADDAI INTERCONTINENTAL SCHOOL</t>
  </si>
  <si>
    <t>JALAN POS PENGUMBEN RAYA NO. 40 KOMP. PERMATA MEDITERANIA</t>
  </si>
  <si>
    <t>SD EL SHADDAI INTERCONTINENTAL SCHOOL</t>
  </si>
  <si>
    <t>TK JAKARTA MONTESSORI SCHOOL</t>
  </si>
  <si>
    <t>JL. DURIAN NO. 10</t>
  </si>
  <si>
    <t>KB JAKARTA MONTESSORI SCHOOL</t>
  </si>
  <si>
    <t>TK. AUSTRALIAN INDEPENDENT SCHOOL INDONESIA</t>
  </si>
  <si>
    <t>JL, PEJATEN BARAT RAYA NO.68 RT 006 RW 003 12510</t>
  </si>
  <si>
    <t>SMA RAFFLES CHRISTIAN SCHOOL PONDOK INDAH</t>
  </si>
  <si>
    <t>JL. GEDUNG HIJAU RAYA 1 NO. 1</t>
  </si>
  <si>
    <t>TK SAMPOERNA</t>
  </si>
  <si>
    <t>JL. RAYA PASAR MINGGU KAV. 16 RT 007/02</t>
  </si>
  <si>
    <t>SMA MENTARI INTERCULTURAL SCHOOL JAKARTA</t>
  </si>
  <si>
    <t>JL. H. JIAN RT. 004/03 NO. 6</t>
  </si>
  <si>
    <t>TK BINA BANGSA SCHOOL</t>
  </si>
  <si>
    <t>JL. BUDI KAV.87</t>
  </si>
  <si>
    <t>SMP RAFFLES CHRISTIAN SCHOOL KEBON JERUK</t>
  </si>
  <si>
    <t>JL MERUYA ILIR NO 89</t>
  </si>
  <si>
    <t>SD ACG SCHOOL JAKARTA</t>
  </si>
  <si>
    <t>JL. WARUNG JATI BARAT (TAMAN MARGASATWA) NO.19. PASAR MINGGU. JAKARTA SELATAN</t>
  </si>
  <si>
    <t>SMP ACG SCHOOL JAKARTA</t>
  </si>
  <si>
    <t>JL. TAMAN MARGASATWA NO. 19. WARUNG JATI BARAT . PASAR MINGGU. JAKARTA SELATAN</t>
  </si>
  <si>
    <t>SMA ACG SCHOOL JAKARTA</t>
  </si>
  <si>
    <t>JL. TAMAN MARGASATWA NO. 19. WARUNG JATI BARAT</t>
  </si>
  <si>
    <t>TK RAFFLES CHRISTIAN SCHOOL (RICS)</t>
  </si>
  <si>
    <t>JL.MERUYA ILIR NO 89 RT.001/005</t>
  </si>
  <si>
    <t>SMA RAFFLES CHRISTIAN SCHOOL KEBON JERUK</t>
  </si>
  <si>
    <t>JL. MERUYA ILIR NO.89, MERUYA UTARA</t>
  </si>
  <si>
    <t>SMA D ROYAL MOROCO INTEGRATIVE ISLAMIC SCHOOL</t>
  </si>
  <si>
    <t>JL. H. SALIM 3 NO.7. RADIO DALAM</t>
  </si>
  <si>
    <t>SD HARAPAN PRESTASI</t>
  </si>
  <si>
    <t>JL. DEWI SARTIKA NO. 293A, CAWANG, KRAMATJATI, JAKARTA TIMUR 13630</t>
  </si>
  <si>
    <t>TK KINDERLAND</t>
  </si>
  <si>
    <t>JL. SURYA TIMUR BLOK A NO.5 SUNRISE GARDEN</t>
  </si>
  <si>
    <t>SMA ISLAM AL JABR</t>
  </si>
  <si>
    <t>JL. BANGO II NO. 30 - 38 RT 006/03</t>
  </si>
  <si>
    <t>SMP TZU CHI</t>
  </si>
  <si>
    <t>JL. PANTAI INDAH KAPUK BOULEVARD KEL KAMAL MUARA PENJARINGAN JAKARTA UTARA</t>
  </si>
  <si>
    <t>SD RAFFLES CHRISTIAN SCHOOL KELAPA GADING</t>
  </si>
  <si>
    <t>JL. GADING PELANGI INDAH NO. 1</t>
  </si>
  <si>
    <t>TK RAFFLES CHRISTIAN SCHOOL</t>
  </si>
  <si>
    <t>SMP RAFFLES CHRISTIAN SCHOOL KELAPA GADING</t>
  </si>
  <si>
    <t>JALAN GADING PELANGI 1, KELURAHAN PEGANGSAAN DUA, KECAMATAN KELAPA GADING, KOTA</t>
  </si>
  <si>
    <t>SMA RAFFLES CHRISTIAN SCHOOL KELAPA GADING</t>
  </si>
  <si>
    <t>PAUD LOLLYPOP</t>
  </si>
  <si>
    <t>JL. SUNTER PERMAI RAYA RT014/007 NO.8 SUNTER AGUNG</t>
  </si>
  <si>
    <t>TK INTEGRATED CHILDRENS ACADEMY</t>
  </si>
  <si>
    <t>JL. PAKUBUWONO VI NO.6 RT. 008/04</t>
  </si>
  <si>
    <t>SMA LENTERA KASIH</t>
  </si>
  <si>
    <t>JL. SUNTER PERMAI RAYA NO.8</t>
  </si>
  <si>
    <t>SD SAMPOERNA</t>
  </si>
  <si>
    <t>SMP SAMPOERNA</t>
  </si>
  <si>
    <t>SMA SAMPOERNA</t>
  </si>
  <si>
    <t>SMP PELITA BANGSA</t>
  </si>
  <si>
    <t>PERUMAHAN CITRA 5 BLOK E7 RT04/016</t>
  </si>
  <si>
    <t>SMA TZU CHI</t>
  </si>
  <si>
    <t>JL PANTAI INDAH KAPUK BOULEVARD</t>
  </si>
  <si>
    <t>PLUIT INDAH RAYA</t>
  </si>
  <si>
    <t>JL. PLUIT PERMAI RT.04/04</t>
  </si>
  <si>
    <t>TK LOLLYPOP</t>
  </si>
  <si>
    <t>JL. SUNTER PERMAI RAYA NO.8 RT.014/007</t>
  </si>
  <si>
    <t>KB PAUD RAFFLES CHRISTIAN SCHOOL</t>
  </si>
  <si>
    <t>JL. GADING PELANGI INDAH NO.1</t>
  </si>
  <si>
    <t>SDS HOLY ANGELS</t>
  </si>
  <si>
    <t>JL. TAMAN ARIES UTAMA NO. 8</t>
  </si>
  <si>
    <t>TK SEVILLA</t>
  </si>
  <si>
    <t>JL.PULOMAS JAYA PACUAN KUDA PULOMAS</t>
  </si>
  <si>
    <t>SMP ICHTHUS</t>
  </si>
  <si>
    <t>SDS LILIN BANGSA</t>
  </si>
  <si>
    <t>JL. RAYA TERUSAN HIBRIDA GADING ORCHAD KELURAHAN SUKA PURA</t>
  </si>
  <si>
    <t>SDK PENABUR KELAPA GADING</t>
  </si>
  <si>
    <t>JL BULEVARD BUKIT GADING RAYA BLOK A5-A8</t>
  </si>
  <si>
    <t>SD D`ROYAL MOROCO INTEGRATIVE ISLAMIC SCHOOL</t>
  </si>
  <si>
    <t>JL. H.SALIM III NO. 7 RADIO DALAM</t>
  </si>
  <si>
    <t>SMP D`ROYAL MOROCO INTEGRATIVE ISLAMIC SCHOOL</t>
  </si>
  <si>
    <t>SMA GLOBAL SEVILLA PULOMAS</t>
  </si>
  <si>
    <t>JL. PULO MAS RAYA PULOMAS</t>
  </si>
  <si>
    <t>SMP BINA NUSANTARA SIMPRUG</t>
  </si>
  <si>
    <t>SMA BINA BANGSA SCHOOL PANTAI INDAH KAPUK</t>
  </si>
  <si>
    <t>WALET ELOK 8 BLOK R8 NO.1 PANTAI INDAH KAPUK</t>
  </si>
  <si>
    <t>SMP TUNAS MUDA SCHOOL</t>
  </si>
  <si>
    <t>SMP KANAAN GLOBAL SCHOOL</t>
  </si>
  <si>
    <t>JLN. BOULEVARD BLOK L2, KEL. PEGADUNGAN, KALI DERES, JAKARTA BARAT</t>
  </si>
  <si>
    <t>SDS PERMATA HARAPAN</t>
  </si>
  <si>
    <t>JL. POS PENGUMBEN LAMA . NO. 13</t>
  </si>
  <si>
    <t>SMAK PENABUR KELAPA GADING</t>
  </si>
  <si>
    <t>JL. BOULEVARD BUKIT GADING RAYA KAV. A5-A8</t>
  </si>
  <si>
    <t>SMAS KRISTEN 8 PENABUR</t>
  </si>
  <si>
    <t>JL. TANJUNG DUREN RAYA NO.4 BLOK D</t>
  </si>
  <si>
    <t>SMPS NARADA</t>
  </si>
  <si>
    <t>PERUMAHAN KOSAMBI BARU BLOK A EXT. 1 RT 004/015</t>
  </si>
  <si>
    <t>SMAS LENTERA INDONESIA</t>
  </si>
  <si>
    <t>JL. SULTAN ISKANDAR MUDA NO. 98</t>
  </si>
  <si>
    <t>SMP ICHTHUS SCHOOL</t>
  </si>
  <si>
    <t>JL. HAJI BATONG 1-1A/JL. CARINGIN BARAT 1</t>
  </si>
  <si>
    <t>SMP SEKOLAH HIGHSCOPE INDONESIA JAKARTA KELAPA GADING</t>
  </si>
  <si>
    <t>SMPK PENABUR KELAPA GADING</t>
  </si>
  <si>
    <t>JALAN BOULEVARD BUKIT GADING RAYA BLOK A5-A8</t>
  </si>
  <si>
    <t>SD TZU CHI</t>
  </si>
  <si>
    <t>TZU CHI CENTER, JL. PANTAI INDAH KAPUK BOULEVARD</t>
  </si>
  <si>
    <t>SMA NARADA</t>
  </si>
  <si>
    <t>PERUMAHAN KOSAMBI BARU BLOK A EXT. 1</t>
  </si>
  <si>
    <t>SD MENTARI INTERCULTURAL SCHOOL GRAND SURYA</t>
  </si>
  <si>
    <t>JL TAMAN BOUGENVILLE 1, TAMAN SURYA 5 BLOK MM2</t>
  </si>
  <si>
    <t>SMP SPRINGFIELD</t>
  </si>
  <si>
    <t>JL. PULAU SELAYAR BLOK B1 NO. 1, PERUMAHAN PERMATA BUANA</t>
  </si>
  <si>
    <t>SMA GANDHI MEMORIAL INTERCONTINENTAL SCHOOL</t>
  </si>
  <si>
    <t>JL HBR MOTIK KEMAYORAN</t>
  </si>
  <si>
    <t>SD GANDHI MEMORIAL INTERCONTINENTAL SCHOOL</t>
  </si>
  <si>
    <t>JL. HBR MOTIK KOTA BARU BANDAR KEMAYORAN BLOK D6 KAV NO 1</t>
  </si>
  <si>
    <t>SMP GANDHI MEMORIAL INTERCONTINENTAL SCHOOL</t>
  </si>
  <si>
    <t>SMP ISLAM AL JABR</t>
  </si>
  <si>
    <t>JL. BANGO 2 NO. 34 PONDOK LABU</t>
  </si>
  <si>
    <t>SD MAHABODHI VIDYA</t>
  </si>
  <si>
    <t>JL. PALEM ANGGUR KAV. 8 PERUM CITRA GARDEN 3</t>
  </si>
  <si>
    <t>SDS NOAH</t>
  </si>
  <si>
    <t>JL. KALISARI RAYA II NO 11 RT. 002 RW. 02</t>
  </si>
  <si>
    <t>SMP GLOBAL NUSANTARA SCHOOL</t>
  </si>
  <si>
    <t>JL. TAMAN MERUYA ILIR BLOK L</t>
  </si>
  <si>
    <t>SMAS SPRINGFIELD</t>
  </si>
  <si>
    <t>JL. PULAU TIDUNG RT 018 RW 09, PERUMAHAN PERMATA BUANA</t>
  </si>
  <si>
    <t>TK CITA BUANA</t>
  </si>
  <si>
    <t>SDS DHARMA BANGSA</t>
  </si>
  <si>
    <t>JL. DAAN MOGOT 2 NO. 2 RT.07 RW.05</t>
  </si>
  <si>
    <t>SMP JAKARTA INTERCULTURAL SCHOOL DI CILANDAK</t>
  </si>
  <si>
    <t>JALAN TEROGONG RAYA NO 33</t>
  </si>
  <si>
    <t>SMA JAKARTA INTERCULTURAL SCHOOL</t>
  </si>
  <si>
    <t>SD NORTH JAKARTA INTERCULTURAL SCHOOL</t>
  </si>
  <si>
    <t>SMP NORTH JAKARTA INTERCULTURAL SCHOOL</t>
  </si>
  <si>
    <t>KB BINA NUSANTARA SIMPRUG</t>
  </si>
  <si>
    <t>SD GREEN MONTESSORI</t>
  </si>
  <si>
    <t>JL. DUREN TIGA RAYA NO. 133</t>
  </si>
  <si>
    <t>SMA JAKARTA TAIPEI SCHOOL</t>
  </si>
  <si>
    <t>SMA BEACON ACADEMY</t>
  </si>
  <si>
    <t>JL. PEGANGSAAN DUA NO.66 RT.004 RW.19</t>
  </si>
  <si>
    <t>JL. MERUYA ILIR NO.89 RT.001/005</t>
  </si>
  <si>
    <t>KB RAFFLES CHRISTIAN SCHOOL PONDOK INDAH</t>
  </si>
  <si>
    <t>JL. ARTERI PONDOK INDAH 1</t>
  </si>
  <si>
    <t>SMA ICHTHUS</t>
  </si>
  <si>
    <t>JAKARTA INTERCULTURAL SCHOOL</t>
  </si>
  <si>
    <t>JL. DUTA INDAH III PONDOK INDAH JAKARTA SELATAN</t>
  </si>
  <si>
    <t>TK SPRINGFIELD</t>
  </si>
  <si>
    <t>JL. PULAU SEBARU BLOK L-4/1, PERMATA BUANA KEMBANGAN, JAKARTA BARAT</t>
  </si>
  <si>
    <t>TK D ROYAL MAROCO INTEGRATIVE ISLAMIC SCHOOL</t>
  </si>
  <si>
    <t>JL. HAJI AGUS SALIM III NO 7 RADIO DALAM RAYA KEBAYORAN BARU JAKARTA SELATAN</t>
  </si>
  <si>
    <t>TK TUNAS MUDA SCHOOL</t>
  </si>
  <si>
    <t>JL. MERUYA UTARA NO 71 KEMBANGAN, JAKARTA BARAT</t>
  </si>
  <si>
    <t>KINDERLAND TK</t>
  </si>
  <si>
    <t>JL. KAYU PUTIH RAYA NO 15 A PULO MAS, JAKARTA TIMUR</t>
  </si>
  <si>
    <t>KINDERLAND KB</t>
  </si>
  <si>
    <t>JL. BONA VISTA RAYA, PERUM BONA INDAH GARDEN, LEBAK BULUS, CILANDAK, JAKARTA SEL</t>
  </si>
  <si>
    <t>TK NEW ZEALAND INDEPENDENT SCHOOL</t>
  </si>
  <si>
    <t>JL. KEMANG SELATAN I B/1A</t>
  </si>
  <si>
    <t>TK BINA NUSANTARA SIMPRUG</t>
  </si>
  <si>
    <t>JL. SULTAN ISKANDAR MUDA KAV. G-8 KEBAYORAN LAMA, JAKARTA SELATAN</t>
  </si>
  <si>
    <t>TK RAFFLES CRISTIAN SCHOOL PONDOK INDAH</t>
  </si>
  <si>
    <t>TK IPEKA INTEGRATED CHRISTIAN SCHOOL</t>
  </si>
  <si>
    <t>JL. BATU MULIA TAMAN MERUYA ILIR BLOK K</t>
  </si>
  <si>
    <t>TK ACG SCHOOL JAKARTA</t>
  </si>
  <si>
    <t>JL. TAMAN MARGASATWA NO 19 WARUNG JATI BARAT RAGUNAN, JAKARTA SELATAN</t>
  </si>
  <si>
    <t>JL. DUTA INDAH III, PONDOK INDAH, JAKARTA SELATAN</t>
  </si>
  <si>
    <t>JL. PATTIMURA I NO 2, KEBAYORAN BARU JAKARTA SELATAN</t>
  </si>
  <si>
    <t>JL. KAYU PUTIH RAYA BLOK A-IV, KAV 1-4 PULO MAS, JAKARTA TIMUR</t>
  </si>
  <si>
    <t>JL. SURYA TIMUR BLOK A NO.5 SUNRISE GARDEN JAKARTA BARAT</t>
  </si>
  <si>
    <t>TK TUNAS MUDA</t>
  </si>
  <si>
    <t>JL. ANGSANA RAYA D 8/2 TAMAN KEDOYA BARU, KEBON JERUK, JAKARTA BARAT</t>
  </si>
  <si>
    <t>TK BUNDA MULIA SCHOOL</t>
  </si>
  <si>
    <t>JL. LODAN RAYA NO. 2 ANCOL, JAKARTA UTARA</t>
  </si>
  <si>
    <t>KB BUNDA MULIA SCHOOL</t>
  </si>
  <si>
    <t>SINGAPORE SCHOOL PANTAI INDAH KAPUK</t>
  </si>
  <si>
    <t>JL. MANDARA INDAH IV RT.13/RW.06, PANTAI INDAH KAPUK</t>
  </si>
  <si>
    <t>SINGAPORE SCHOOL KELAPA GADING</t>
  </si>
  <si>
    <t>JL. PEGANGSAAN DUA NO. 83, KELAPA GADING, JAKARTA UTARA</t>
  </si>
  <si>
    <t>KB IPEKA INTERGRATED CHRISTIAN SCHOOL</t>
  </si>
  <si>
    <t>KINDERLAND</t>
  </si>
  <si>
    <t>HIGHSCOPE INDONESIA JAKARTA - CILANDAK</t>
  </si>
  <si>
    <t>JL. TB SIMATUPANG NO. 8 CILANDAK, JAKARTA SELATAN</t>
  </si>
  <si>
    <t>TK HIGHSCOPE INDONESIA JAKARTA - CILANDAK</t>
  </si>
  <si>
    <t>KB BINA BANGSA SCHOOL</t>
  </si>
  <si>
    <t>JL. BUDI KAV 87 RT.04/012</t>
  </si>
  <si>
    <t>JL. CARINGIN BARAT NO. 1, CILANDAK BARAT, JAKARTA SELATAN</t>
  </si>
  <si>
    <t>KB NORTH JAKARTA INTERCULTURAL SCHOOL</t>
  </si>
  <si>
    <t>JL. BOULEVARD BUKTI GADING RAYA</t>
  </si>
  <si>
    <t>TK NORTH JAKARTA INTERCULTURAL SCHOOL</t>
  </si>
  <si>
    <t>KB KINDERLAND</t>
  </si>
  <si>
    <t>TK SINGAPORE SCHOOL PANTAI INDAH KAPUK</t>
  </si>
  <si>
    <t>SEKOLAH DASAR LYCEE FRANCAIS DE JAKARTA</t>
  </si>
  <si>
    <t>NP481564</t>
  </si>
  <si>
    <t>JL. CIPETE DALAM NO.32</t>
  </si>
  <si>
    <t>SEKOLAH MENENGAH ATAS LYCEE FRANCAIS DE JAKARTA</t>
  </si>
  <si>
    <t>NP751295</t>
  </si>
  <si>
    <t>TAMAN KANAK KANAK LYCEE FRANCAIS DE JAKARTA</t>
  </si>
  <si>
    <t>NP755252</t>
  </si>
  <si>
    <t>SEKOLAH MENENGAH PERTAMA LYCEE FRANCAIS DE JAKARTA</t>
  </si>
  <si>
    <t>NP861033</t>
  </si>
  <si>
    <t>TK KIDDIE PLANET PANTAI INDAH KAPUK</t>
  </si>
  <si>
    <t>KOMPLEK CLUSTER GARDEN HOUSE BLOK B NO.2-3 BUKIT GOLF MEDITERANIA, PIK JAKARTA U</t>
  </si>
  <si>
    <t>SD NORD ANGLIA SCHOOL JAKARTA</t>
  </si>
  <si>
    <t>JL. NIS 1 KENANGA, TERUSAN AMPERA RAYA</t>
  </si>
  <si>
    <t>KB KIDDIE PLANET PANTAI INDAH KAPUK</t>
  </si>
  <si>
    <t>CLUSTER GARDEN HOUSE BLOK B NO. 2-3 BUKIT GOLF MEDITERANIA</t>
  </si>
  <si>
    <t>TK GLOBAL SEVILLA PURI INDAH</t>
  </si>
  <si>
    <t>JL. KEMBANGAN RAYA BLOK JJ NO.1 PURI INDAH</t>
  </si>
  <si>
    <t>TK NORD ANGLIA SCHOOL JAKARTA</t>
  </si>
  <si>
    <t>JL. NIS 1 KENANGA TERUSAN AMPERA RAYA, CILANDAK, JAKARTA SELATAN</t>
  </si>
  <si>
    <t>TK ACS JAKARTA</t>
  </si>
  <si>
    <t>JL. BANTAR JATI RT. 007/02</t>
  </si>
  <si>
    <t>KB NORD ANGLIA SCHOOL JAKARTA</t>
  </si>
  <si>
    <t>JL. NIS 1 KENANGA TERUSAN, AMPERA RAYA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</si>
</sst>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75"/>
    <col customWidth="1" min="9" max="9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2024.0</v>
      </c>
      <c r="B2" s="3" t="s">
        <v>9</v>
      </c>
      <c r="C2" s="3" t="s">
        <v>10</v>
      </c>
      <c r="D2" s="3" t="s">
        <v>11</v>
      </c>
      <c r="E2" s="2">
        <v>2.0100194E7</v>
      </c>
      <c r="F2" s="3" t="s">
        <v>12</v>
      </c>
      <c r="G2" s="2">
        <v>171.0</v>
      </c>
      <c r="H2" s="4">
        <f>IFERROR(__xludf.DUMMYFUNCTION("SPLIT(GETLATLONG(F2 &amp; "", "" &amp; B2), ""|"")"),-6.15354909999999)</f>
        <v>-6.1535491</v>
      </c>
      <c r="I2" s="5">
        <f>IFERROR(__xludf.DUMMYFUNCTION("""COMPUTED_VALUE"""),106.8395423)</f>
        <v>106.8395423</v>
      </c>
    </row>
    <row r="3">
      <c r="A3" s="2">
        <v>2024.0</v>
      </c>
      <c r="B3" s="3" t="s">
        <v>9</v>
      </c>
      <c r="C3" s="3" t="s">
        <v>13</v>
      </c>
      <c r="D3" s="3" t="s">
        <v>14</v>
      </c>
      <c r="E3" s="2">
        <v>2.0100246E7</v>
      </c>
      <c r="F3" s="3" t="s">
        <v>15</v>
      </c>
      <c r="G3" s="2">
        <v>160.0</v>
      </c>
      <c r="H3" s="4">
        <f>IFERROR(__xludf.DUMMYFUNCTION("SPLIT(GETLATLONG(F3 &amp; "", "" &amp; B3), ""|"")"),-6.1708389)</f>
        <v>-6.1708389</v>
      </c>
      <c r="I3" s="5">
        <f>IFERROR(__xludf.DUMMYFUNCTION("""COMPUTED_VALUE"""),106.8065501)</f>
        <v>106.8065501</v>
      </c>
    </row>
    <row r="4">
      <c r="A4" s="2">
        <v>2024.0</v>
      </c>
      <c r="B4" s="3" t="s">
        <v>9</v>
      </c>
      <c r="C4" s="3" t="s">
        <v>13</v>
      </c>
      <c r="D4" s="3" t="s">
        <v>16</v>
      </c>
      <c r="E4" s="2">
        <v>2.0100324E7</v>
      </c>
      <c r="F4" s="3" t="s">
        <v>17</v>
      </c>
      <c r="G4" s="2">
        <v>150.0</v>
      </c>
      <c r="H4" s="4">
        <f>IFERROR(__xludf.DUMMYFUNCTION("SPLIT(GETLATLONG(F4 &amp; "", "" &amp; B4), ""|"")"),-6.15354909999999)</f>
        <v>-6.1535491</v>
      </c>
      <c r="I4" s="5">
        <f>IFERROR(__xludf.DUMMYFUNCTION("""COMPUTED_VALUE"""),106.8395423)</f>
        <v>106.8395423</v>
      </c>
    </row>
    <row r="5">
      <c r="A5" s="2">
        <v>2024.0</v>
      </c>
      <c r="B5" s="3" t="s">
        <v>18</v>
      </c>
      <c r="C5" s="3" t="s">
        <v>10</v>
      </c>
      <c r="D5" s="3" t="s">
        <v>19</v>
      </c>
      <c r="E5" s="2">
        <v>2.0100599E7</v>
      </c>
      <c r="F5" s="3" t="s">
        <v>20</v>
      </c>
      <c r="G5" s="2">
        <v>290.0</v>
      </c>
      <c r="H5" s="4">
        <f>IFERROR(__xludf.DUMMYFUNCTION("SPLIT(GETLATLONG(F5 &amp; "", "" &amp; B5), ""|"")"),-6.124046)</f>
        <v>-6.124046</v>
      </c>
      <c r="I5" s="5">
        <f>IFERROR(__xludf.DUMMYFUNCTION("""COMPUTED_VALUE"""),106.8225142)</f>
        <v>106.8225142</v>
      </c>
    </row>
    <row r="6">
      <c r="A6" s="2">
        <v>2024.0</v>
      </c>
      <c r="B6" s="3" t="s">
        <v>18</v>
      </c>
      <c r="C6" s="3" t="s">
        <v>10</v>
      </c>
      <c r="D6" s="3" t="s">
        <v>21</v>
      </c>
      <c r="E6" s="2">
        <v>2.0100612E7</v>
      </c>
      <c r="F6" s="3" t="s">
        <v>22</v>
      </c>
      <c r="G6" s="2">
        <v>102.0</v>
      </c>
      <c r="H6" s="4">
        <f>IFERROR(__xludf.DUMMYFUNCTION("SPLIT(GETLATLONG(F6 &amp; "", "" &amp; B6), ""|"")"),-6.120249)</f>
        <v>-6.120249</v>
      </c>
      <c r="I6" s="5">
        <f>IFERROR(__xludf.DUMMYFUNCTION("""COMPUTED_VALUE"""),106.7528798)</f>
        <v>106.7528798</v>
      </c>
    </row>
    <row r="7">
      <c r="A7" s="2">
        <v>2024.0</v>
      </c>
      <c r="B7" s="3" t="s">
        <v>23</v>
      </c>
      <c r="C7" s="3" t="s">
        <v>24</v>
      </c>
      <c r="D7" s="3" t="s">
        <v>25</v>
      </c>
      <c r="E7" s="2">
        <v>2.0102367E7</v>
      </c>
      <c r="F7" s="3" t="s">
        <v>26</v>
      </c>
      <c r="G7" s="2">
        <v>270.0</v>
      </c>
      <c r="H7" s="4">
        <f>IFERROR(__xludf.DUMMYFUNCTION("SPLIT(GETLATLONG(F7 &amp; "", "" &amp; B7), ""|"")"),-6.2452647)</f>
        <v>-6.2452647</v>
      </c>
      <c r="I7" s="5">
        <f>IFERROR(__xludf.DUMMYFUNCTION("""COMPUTED_VALUE"""),106.7816134)</f>
        <v>106.7816134</v>
      </c>
    </row>
    <row r="8">
      <c r="A8" s="2">
        <v>2024.0</v>
      </c>
      <c r="B8" s="3" t="s">
        <v>23</v>
      </c>
      <c r="C8" s="3" t="s">
        <v>13</v>
      </c>
      <c r="D8" s="3" t="s">
        <v>27</v>
      </c>
      <c r="E8" s="2">
        <v>2.0102409E7</v>
      </c>
      <c r="F8" s="3" t="s">
        <v>28</v>
      </c>
      <c r="G8" s="2">
        <v>117.0</v>
      </c>
      <c r="H8" s="4">
        <f>IFERROR(__xludf.DUMMYFUNCTION("SPLIT(GETLATLONG(F8 &amp; "", "" &amp; B8), ""|"")"),-6.3162048)</f>
        <v>-6.3162048</v>
      </c>
      <c r="I8" s="5">
        <f>IFERROR(__xludf.DUMMYFUNCTION("""COMPUTED_VALUE"""),106.8145793)</f>
        <v>106.8145793</v>
      </c>
    </row>
    <row r="9">
      <c r="A9" s="2">
        <v>2024.0</v>
      </c>
      <c r="B9" s="3" t="s">
        <v>23</v>
      </c>
      <c r="C9" s="3" t="s">
        <v>24</v>
      </c>
      <c r="D9" s="3" t="s">
        <v>29</v>
      </c>
      <c r="E9" s="2">
        <v>2.0102739E7</v>
      </c>
      <c r="F9" s="3" t="s">
        <v>30</v>
      </c>
      <c r="G9" s="2">
        <v>268.0</v>
      </c>
      <c r="H9" s="4">
        <f>IFERROR(__xludf.DUMMYFUNCTION("SPLIT(GETLATLONG(F9 &amp; "", "" &amp; B9), ""|"")"),-6.3162048)</f>
        <v>-6.3162048</v>
      </c>
      <c r="I9" s="5">
        <f>IFERROR(__xludf.DUMMYFUNCTION("""COMPUTED_VALUE"""),106.8145793)</f>
        <v>106.8145793</v>
      </c>
    </row>
    <row r="10">
      <c r="A10" s="2">
        <v>2024.0</v>
      </c>
      <c r="B10" s="3" t="s">
        <v>23</v>
      </c>
      <c r="C10" s="3" t="s">
        <v>24</v>
      </c>
      <c r="D10" s="3" t="s">
        <v>31</v>
      </c>
      <c r="E10" s="2">
        <v>2.0103049E7</v>
      </c>
      <c r="F10" s="3" t="s">
        <v>32</v>
      </c>
      <c r="G10" s="2">
        <v>356.0</v>
      </c>
      <c r="H10" s="4">
        <f>IFERROR(__xludf.DUMMYFUNCTION("SPLIT(GETLATLONG(F10 &amp; "", "" &amp; B10), ""|"")"),-6.30797829999999)</f>
        <v>-6.3079783</v>
      </c>
      <c r="I10" s="5">
        <f>IFERROR(__xludf.DUMMYFUNCTION("""COMPUTED_VALUE"""),106.8041031)</f>
        <v>106.8041031</v>
      </c>
    </row>
    <row r="11">
      <c r="A11" s="2">
        <v>2024.0</v>
      </c>
      <c r="B11" s="3" t="s">
        <v>23</v>
      </c>
      <c r="C11" s="3" t="s">
        <v>24</v>
      </c>
      <c r="D11" s="3" t="s">
        <v>33</v>
      </c>
      <c r="E11" s="2">
        <v>2.0103051E7</v>
      </c>
      <c r="F11" s="3" t="s">
        <v>34</v>
      </c>
      <c r="G11" s="2">
        <v>29.0</v>
      </c>
      <c r="H11" s="4">
        <f>IFERROR(__xludf.DUMMYFUNCTION("SPLIT(GETLATLONG(F11 &amp; "", "" &amp; B11), ""|"")"),-6.2768585)</f>
        <v>-6.2768585</v>
      </c>
      <c r="I11" s="5">
        <f>IFERROR(__xludf.DUMMYFUNCTION("""COMPUTED_VALUE"""),106.7703966)</f>
        <v>106.7703966</v>
      </c>
    </row>
    <row r="12">
      <c r="A12" s="2">
        <v>2024.0</v>
      </c>
      <c r="B12" s="3" t="s">
        <v>35</v>
      </c>
      <c r="C12" s="3" t="s">
        <v>10</v>
      </c>
      <c r="D12" s="3" t="s">
        <v>36</v>
      </c>
      <c r="E12" s="2">
        <v>2.0104407E7</v>
      </c>
      <c r="F12" s="3" t="s">
        <v>37</v>
      </c>
      <c r="G12" s="2">
        <v>252.0</v>
      </c>
      <c r="H12" s="4">
        <f>IFERROR(__xludf.DUMMYFUNCTION("SPLIT(GETLATLONG(F12 &amp; "", "" &amp; B12), ""|"")"),-6.2034206)</f>
        <v>-6.2034206</v>
      </c>
      <c r="I12" s="5">
        <f>IFERROR(__xludf.DUMMYFUNCTION("""COMPUTED_VALUE"""),106.7454526)</f>
        <v>106.7454526</v>
      </c>
    </row>
    <row r="13">
      <c r="A13" s="2">
        <v>2024.0</v>
      </c>
      <c r="B13" s="3" t="s">
        <v>35</v>
      </c>
      <c r="C13" s="3" t="s">
        <v>10</v>
      </c>
      <c r="D13" s="3" t="s">
        <v>38</v>
      </c>
      <c r="E13" s="2">
        <v>2.0104408E7</v>
      </c>
      <c r="F13" s="3" t="s">
        <v>39</v>
      </c>
      <c r="G13" s="2">
        <v>120.0</v>
      </c>
      <c r="H13" s="4">
        <f>IFERROR(__xludf.DUMMYFUNCTION("SPLIT(GETLATLONG(F13 &amp; "", "" &amp; B13), ""|"")"),-6.1862186)</f>
        <v>-6.1862186</v>
      </c>
      <c r="I13" s="5">
        <f>IFERROR(__xludf.DUMMYFUNCTION("""COMPUTED_VALUE"""),106.7814023)</f>
        <v>106.7814023</v>
      </c>
    </row>
    <row r="14">
      <c r="A14" s="2">
        <v>2024.0</v>
      </c>
      <c r="B14" s="3" t="s">
        <v>35</v>
      </c>
      <c r="C14" s="3" t="s">
        <v>10</v>
      </c>
      <c r="D14" s="3" t="s">
        <v>40</v>
      </c>
      <c r="E14" s="2">
        <v>2.010441E7</v>
      </c>
      <c r="F14" s="3" t="s">
        <v>41</v>
      </c>
      <c r="G14" s="2">
        <v>61.0</v>
      </c>
      <c r="H14" s="4">
        <f>IFERROR(__xludf.DUMMYFUNCTION("SPLIT(GETLATLONG(F14 &amp; "", "" &amp; B14), ""|"")"),-6.1866383)</f>
        <v>-6.1866383</v>
      </c>
      <c r="I14" s="5">
        <f>IFERROR(__xludf.DUMMYFUNCTION("""COMPUTED_VALUE"""),106.7425049)</f>
        <v>106.7425049</v>
      </c>
    </row>
    <row r="15">
      <c r="A15" s="2">
        <v>2024.0</v>
      </c>
      <c r="B15" s="3" t="s">
        <v>35</v>
      </c>
      <c r="C15" s="3" t="s">
        <v>10</v>
      </c>
      <c r="D15" s="3" t="s">
        <v>42</v>
      </c>
      <c r="E15" s="2">
        <v>2.0104423E7</v>
      </c>
      <c r="F15" s="3" t="s">
        <v>43</v>
      </c>
      <c r="G15" s="2">
        <v>130.0</v>
      </c>
      <c r="H15" s="4">
        <f>IFERROR(__xludf.DUMMYFUNCTION("SPLIT(GETLATLONG(F15 &amp; "", "" &amp; B15), ""|"")"),-6.1935444)</f>
        <v>-6.1935444</v>
      </c>
      <c r="I15" s="5">
        <f>IFERROR(__xludf.DUMMYFUNCTION("""COMPUTED_VALUE"""),106.7419278)</f>
        <v>106.7419278</v>
      </c>
    </row>
    <row r="16">
      <c r="A16" s="2">
        <v>2024.0</v>
      </c>
      <c r="B16" s="3" t="s">
        <v>35</v>
      </c>
      <c r="C16" s="3" t="s">
        <v>10</v>
      </c>
      <c r="D16" s="3" t="s">
        <v>44</v>
      </c>
      <c r="E16" s="2">
        <v>2.0104439E7</v>
      </c>
      <c r="F16" s="3" t="s">
        <v>45</v>
      </c>
      <c r="G16" s="2">
        <v>234.0</v>
      </c>
      <c r="H16" s="4">
        <f>IFERROR(__xludf.DUMMYFUNCTION("SPLIT(GETLATLONG(F16 &amp; "", "" &amp; B16), ""|"")"),-6.1966958)</f>
        <v>-6.1966958</v>
      </c>
      <c r="I16" s="5">
        <f>IFERROR(__xludf.DUMMYFUNCTION("""COMPUTED_VALUE"""),106.7319117)</f>
        <v>106.7319117</v>
      </c>
    </row>
    <row r="17">
      <c r="A17" s="2">
        <v>2024.0</v>
      </c>
      <c r="B17" s="3" t="s">
        <v>9</v>
      </c>
      <c r="C17" s="3" t="s">
        <v>24</v>
      </c>
      <c r="D17" s="3" t="s">
        <v>46</v>
      </c>
      <c r="E17" s="2">
        <v>2.0104835E7</v>
      </c>
      <c r="F17" s="3" t="s">
        <v>47</v>
      </c>
      <c r="G17" s="2">
        <v>257.0</v>
      </c>
      <c r="H17" s="4">
        <f>IFERROR(__xludf.DUMMYFUNCTION("SPLIT(GETLATLONG(F17 &amp; "", "" &amp; B17), ""|"")"),-6.154203)</f>
        <v>-6.154203</v>
      </c>
      <c r="I17" s="5">
        <f>IFERROR(__xludf.DUMMYFUNCTION("""COMPUTED_VALUE"""),106.8441732)</f>
        <v>106.8441732</v>
      </c>
    </row>
    <row r="18">
      <c r="A18" s="2">
        <v>2024.0</v>
      </c>
      <c r="B18" s="3" t="s">
        <v>18</v>
      </c>
      <c r="C18" s="3" t="s">
        <v>24</v>
      </c>
      <c r="D18" s="3" t="s">
        <v>48</v>
      </c>
      <c r="E18" s="2">
        <v>2.0105055E7</v>
      </c>
      <c r="F18" s="3" t="s">
        <v>49</v>
      </c>
      <c r="G18" s="2">
        <v>247.0</v>
      </c>
      <c r="H18" s="4">
        <f>IFERROR(__xludf.DUMMYFUNCTION("SPLIT(GETLATLONG(F18 &amp; "", "" &amp; B18), ""|"")"),-6.1345066)</f>
        <v>-6.1345066</v>
      </c>
      <c r="I18" s="5">
        <f>IFERROR(__xludf.DUMMYFUNCTION("""COMPUTED_VALUE"""),106.8659966)</f>
        <v>106.8659966</v>
      </c>
    </row>
    <row r="19">
      <c r="A19" s="2">
        <v>2024.0</v>
      </c>
      <c r="B19" s="3" t="s">
        <v>18</v>
      </c>
      <c r="C19" s="3" t="s">
        <v>24</v>
      </c>
      <c r="D19" s="3" t="s">
        <v>50</v>
      </c>
      <c r="E19" s="2">
        <v>2.0105084E7</v>
      </c>
      <c r="F19" s="3" t="s">
        <v>51</v>
      </c>
      <c r="G19" s="2">
        <v>461.0</v>
      </c>
      <c r="H19" s="4">
        <f>IFERROR(__xludf.DUMMYFUNCTION("SPLIT(GETLATLONG(F19 &amp; "", "" &amp; B19), ""|"")"),-6.120249)</f>
        <v>-6.120249</v>
      </c>
      <c r="I19" s="5">
        <f>IFERROR(__xludf.DUMMYFUNCTION("""COMPUTED_VALUE"""),106.7528798)</f>
        <v>106.7528798</v>
      </c>
    </row>
    <row r="20">
      <c r="A20" s="2">
        <v>2024.0</v>
      </c>
      <c r="B20" s="3" t="s">
        <v>35</v>
      </c>
      <c r="C20" s="3" t="s">
        <v>24</v>
      </c>
      <c r="D20" s="3" t="s">
        <v>52</v>
      </c>
      <c r="E20" s="2">
        <v>2.0105629E7</v>
      </c>
      <c r="F20" s="3" t="s">
        <v>53</v>
      </c>
      <c r="G20" s="2">
        <v>209.0</v>
      </c>
      <c r="H20" s="4">
        <f>IFERROR(__xludf.DUMMYFUNCTION("SPLIT(GETLATLONG(F20 &amp; "", "" &amp; B20), ""|"")"),-6.1903467)</f>
        <v>-6.1903467</v>
      </c>
      <c r="I20" s="5">
        <f>IFERROR(__xludf.DUMMYFUNCTION("""COMPUTED_VALUE"""),106.7824054)</f>
        <v>106.7824054</v>
      </c>
    </row>
    <row r="21">
      <c r="A21" s="2">
        <v>2024.0</v>
      </c>
      <c r="B21" s="3" t="s">
        <v>35</v>
      </c>
      <c r="C21" s="3" t="s">
        <v>24</v>
      </c>
      <c r="D21" s="3" t="s">
        <v>54</v>
      </c>
      <c r="E21" s="2">
        <v>2.0105641E7</v>
      </c>
      <c r="F21" s="3" t="s">
        <v>55</v>
      </c>
      <c r="G21" s="2">
        <v>505.0</v>
      </c>
      <c r="H21" s="4">
        <f>IFERROR(__xludf.DUMMYFUNCTION("SPLIT(GETLATLONG(F21 &amp; "", "" &amp; B21), ""|"")"),-6.2034206)</f>
        <v>-6.2034206</v>
      </c>
      <c r="I21" s="5">
        <f>IFERROR(__xludf.DUMMYFUNCTION("""COMPUTED_VALUE"""),106.7454526)</f>
        <v>106.7454526</v>
      </c>
    </row>
    <row r="22">
      <c r="A22" s="2">
        <v>2024.0</v>
      </c>
      <c r="B22" s="3" t="s">
        <v>35</v>
      </c>
      <c r="C22" s="3" t="s">
        <v>24</v>
      </c>
      <c r="D22" s="3" t="s">
        <v>56</v>
      </c>
      <c r="E22" s="2">
        <v>2.010568E7</v>
      </c>
      <c r="F22" s="3" t="s">
        <v>57</v>
      </c>
      <c r="G22" s="2">
        <v>220.0</v>
      </c>
      <c r="H22" s="4">
        <f>IFERROR(__xludf.DUMMYFUNCTION("SPLIT(GETLATLONG(F22 &amp; "", "" &amp; B22), ""|"")"),-6.1769224)</f>
        <v>-6.1769224</v>
      </c>
      <c r="I22" s="5">
        <f>IFERROR(__xludf.DUMMYFUNCTION("""COMPUTED_VALUE"""),106.7621508)</f>
        <v>106.7621508</v>
      </c>
    </row>
    <row r="23">
      <c r="A23" s="2">
        <v>2024.0</v>
      </c>
      <c r="B23" s="3" t="s">
        <v>35</v>
      </c>
      <c r="C23" s="3" t="s">
        <v>24</v>
      </c>
      <c r="D23" s="3" t="s">
        <v>58</v>
      </c>
      <c r="E23" s="2">
        <v>2.0105695E7</v>
      </c>
      <c r="F23" s="3" t="s">
        <v>59</v>
      </c>
      <c r="G23" s="2">
        <v>173.0</v>
      </c>
      <c r="H23" s="4">
        <f>IFERROR(__xludf.DUMMYFUNCTION("SPLIT(GETLATLONG(F23 &amp; "", "" &amp; B23), ""|"")"),-6.1555197)</f>
        <v>-6.1555197</v>
      </c>
      <c r="I23" s="5">
        <f>IFERROR(__xludf.DUMMYFUNCTION("""COMPUTED_VALUE"""),106.8967659)</f>
        <v>106.8967659</v>
      </c>
    </row>
    <row r="24">
      <c r="A24" s="2">
        <v>2024.0</v>
      </c>
      <c r="B24" s="3" t="s">
        <v>35</v>
      </c>
      <c r="C24" s="3" t="s">
        <v>24</v>
      </c>
      <c r="D24" s="3" t="s">
        <v>60</v>
      </c>
      <c r="E24" s="2">
        <v>2.0105793E7</v>
      </c>
      <c r="F24" s="3" t="s">
        <v>61</v>
      </c>
      <c r="G24" s="2">
        <v>263.0</v>
      </c>
      <c r="H24" s="4">
        <f>IFERROR(__xludf.DUMMYFUNCTION("SPLIT(GETLATLONG(F24 &amp; "", "" &amp; B24), ""|"")"),-6.18836599999999)</f>
        <v>-6.188366</v>
      </c>
      <c r="I24" s="5">
        <f>IFERROR(__xludf.DUMMYFUNCTION("""COMPUTED_VALUE"""),106.767079)</f>
        <v>106.767079</v>
      </c>
    </row>
    <row r="25">
      <c r="A25" s="2">
        <v>2024.0</v>
      </c>
      <c r="B25" s="3" t="s">
        <v>23</v>
      </c>
      <c r="C25" s="3" t="s">
        <v>24</v>
      </c>
      <c r="D25" s="3" t="s">
        <v>62</v>
      </c>
      <c r="E25" s="2">
        <v>2.0106275E7</v>
      </c>
      <c r="F25" s="3" t="s">
        <v>63</v>
      </c>
      <c r="G25" s="2">
        <v>357.0</v>
      </c>
      <c r="H25" s="4">
        <f>IFERROR(__xludf.DUMMYFUNCTION("SPLIT(GETLATLONG(F25 &amp; "", "" &amp; B25), ""|"")"),-6.3042253)</f>
        <v>-6.3042253</v>
      </c>
      <c r="I25" s="5">
        <f>IFERROR(__xludf.DUMMYFUNCTION("""COMPUTED_VALUE"""),106.8448858)</f>
        <v>106.8448858</v>
      </c>
    </row>
    <row r="26">
      <c r="A26" s="2">
        <v>2024.0</v>
      </c>
      <c r="B26" s="3" t="s">
        <v>23</v>
      </c>
      <c r="C26" s="3" t="s">
        <v>24</v>
      </c>
      <c r="D26" s="3" t="s">
        <v>64</v>
      </c>
      <c r="E26" s="2">
        <v>2.0106276E7</v>
      </c>
      <c r="F26" s="3" t="s">
        <v>65</v>
      </c>
      <c r="G26" s="2">
        <v>227.0</v>
      </c>
      <c r="H26" s="4">
        <f>IFERROR(__xludf.DUMMYFUNCTION("SPLIT(GETLATLONG(F26 &amp; "", "" &amp; B26), ""|"")"),-6.2398382)</f>
        <v>-6.2398382</v>
      </c>
      <c r="I26" s="5">
        <f>IFERROR(__xludf.DUMMYFUNCTION("""COMPUTED_VALUE"""),106.8442624)</f>
        <v>106.8442624</v>
      </c>
    </row>
    <row r="27">
      <c r="A27" s="2">
        <v>2024.0</v>
      </c>
      <c r="B27" s="3" t="s">
        <v>23</v>
      </c>
      <c r="C27" s="3" t="s">
        <v>24</v>
      </c>
      <c r="D27" s="3" t="s">
        <v>66</v>
      </c>
      <c r="E27" s="2">
        <v>2.0106298E7</v>
      </c>
      <c r="F27" s="3" t="s">
        <v>67</v>
      </c>
      <c r="G27" s="2">
        <v>647.0</v>
      </c>
      <c r="H27" s="4">
        <f>IFERROR(__xludf.DUMMYFUNCTION("SPLIT(GETLATLONG(F27 &amp; "", "" &amp; B27), ""|"")"),-6.25924829999999)</f>
        <v>-6.2592483</v>
      </c>
      <c r="I27" s="5">
        <f>IFERROR(__xludf.DUMMYFUNCTION("""COMPUTED_VALUE"""),106.8061695)</f>
        <v>106.8061695</v>
      </c>
    </row>
    <row r="28">
      <c r="A28" s="2">
        <v>2024.0</v>
      </c>
      <c r="B28" s="3" t="s">
        <v>9</v>
      </c>
      <c r="C28" s="3" t="s">
        <v>13</v>
      </c>
      <c r="D28" s="3" t="s">
        <v>68</v>
      </c>
      <c r="E28" s="2">
        <v>2.0106425E7</v>
      </c>
      <c r="F28" s="3" t="s">
        <v>69</v>
      </c>
      <c r="G28" s="2">
        <v>53.0</v>
      </c>
      <c r="H28" s="4">
        <f>IFERROR(__xludf.DUMMYFUNCTION("SPLIT(GETLATLONG(F28 &amp; "", "" &amp; B28), ""|"")"),-6.1894342)</f>
        <v>-6.1894342</v>
      </c>
      <c r="I28" s="5">
        <f>IFERROR(__xludf.DUMMYFUNCTION("""COMPUTED_VALUE"""),106.8320699)</f>
        <v>106.8320699</v>
      </c>
    </row>
    <row r="29">
      <c r="A29" s="2">
        <v>2024.0</v>
      </c>
      <c r="B29" s="3" t="s">
        <v>18</v>
      </c>
      <c r="C29" s="3" t="s">
        <v>13</v>
      </c>
      <c r="D29" s="3" t="s">
        <v>70</v>
      </c>
      <c r="E29" s="2">
        <v>2.0106515E7</v>
      </c>
      <c r="F29" s="3" t="s">
        <v>71</v>
      </c>
      <c r="G29" s="2">
        <v>332.0</v>
      </c>
      <c r="H29" s="4">
        <f>IFERROR(__xludf.DUMMYFUNCTION("SPLIT(GETLATLONG(F29 &amp; "", "" &amp; B29), ""|"")"),-6.1252006)</f>
        <v>-6.1252006</v>
      </c>
      <c r="I29" s="5">
        <f>IFERROR(__xludf.DUMMYFUNCTION("""COMPUTED_VALUE"""),106.8238682)</f>
        <v>106.8238682</v>
      </c>
    </row>
    <row r="30">
      <c r="A30" s="2">
        <v>2024.0</v>
      </c>
      <c r="B30" s="3" t="s">
        <v>18</v>
      </c>
      <c r="C30" s="3" t="s">
        <v>13</v>
      </c>
      <c r="D30" s="3" t="s">
        <v>72</v>
      </c>
      <c r="E30" s="2">
        <v>2.010664E7</v>
      </c>
      <c r="F30" s="3" t="s">
        <v>73</v>
      </c>
      <c r="G30" s="2">
        <v>151.0</v>
      </c>
      <c r="H30" s="4">
        <f>IFERROR(__xludf.DUMMYFUNCTION("SPLIT(GETLATLONG(F30 &amp; "", "" &amp; B30), ""|"")"),-6.120249)</f>
        <v>-6.120249</v>
      </c>
      <c r="I30" s="5">
        <f>IFERROR(__xludf.DUMMYFUNCTION("""COMPUTED_VALUE"""),106.7528798)</f>
        <v>106.7528798</v>
      </c>
    </row>
    <row r="31">
      <c r="A31" s="2">
        <v>2024.0</v>
      </c>
      <c r="B31" s="3" t="s">
        <v>35</v>
      </c>
      <c r="C31" s="3" t="s">
        <v>13</v>
      </c>
      <c r="D31" s="3" t="s">
        <v>74</v>
      </c>
      <c r="E31" s="2">
        <v>2.0106813E7</v>
      </c>
      <c r="F31" s="3" t="s">
        <v>75</v>
      </c>
      <c r="G31" s="2">
        <v>205.0</v>
      </c>
      <c r="H31" s="4">
        <f>IFERROR(__xludf.DUMMYFUNCTION("SPLIT(GETLATLONG(F31 &amp; "", "" &amp; B31), ""|"")"),-6.1935444)</f>
        <v>-6.1935444</v>
      </c>
      <c r="I31" s="5">
        <f>IFERROR(__xludf.DUMMYFUNCTION("""COMPUTED_VALUE"""),106.7419278)</f>
        <v>106.7419278</v>
      </c>
    </row>
    <row r="32">
      <c r="A32" s="2">
        <v>2024.0</v>
      </c>
      <c r="B32" s="3" t="s">
        <v>23</v>
      </c>
      <c r="C32" s="3" t="s">
        <v>13</v>
      </c>
      <c r="D32" s="3" t="s">
        <v>76</v>
      </c>
      <c r="E32" s="2">
        <v>2.0106957E7</v>
      </c>
      <c r="F32" s="3" t="s">
        <v>77</v>
      </c>
      <c r="G32" s="2">
        <v>225.0</v>
      </c>
      <c r="H32" s="4">
        <f>IFERROR(__xludf.DUMMYFUNCTION("SPLIT(GETLATLONG(F32 &amp; "", "" &amp; B32), ""|"")"),-6.3042253)</f>
        <v>-6.3042253</v>
      </c>
      <c r="I32" s="5">
        <f>IFERROR(__xludf.DUMMYFUNCTION("""COMPUTED_VALUE"""),106.8448858)</f>
        <v>106.8448858</v>
      </c>
    </row>
    <row r="33">
      <c r="A33" s="2">
        <v>2024.0</v>
      </c>
      <c r="B33" s="3" t="s">
        <v>78</v>
      </c>
      <c r="C33" s="3" t="s">
        <v>10</v>
      </c>
      <c r="D33" s="3" t="s">
        <v>79</v>
      </c>
      <c r="E33" s="2">
        <v>2.0107232E7</v>
      </c>
      <c r="F33" s="3" t="s">
        <v>80</v>
      </c>
      <c r="G33" s="2">
        <v>327.0</v>
      </c>
      <c r="H33" s="4">
        <f>IFERROR(__xludf.DUMMYFUNCTION("SPLIT(GETLATLONG(F33 &amp; "", "" &amp; B33), ""|"")"),-6.3105723)</f>
        <v>-6.3105723</v>
      </c>
      <c r="I33" s="5">
        <f>IFERROR(__xludf.DUMMYFUNCTION("""COMPUTED_VALUE"""),106.9187772)</f>
        <v>106.9187772</v>
      </c>
    </row>
    <row r="34">
      <c r="A34" s="2">
        <v>2024.0</v>
      </c>
      <c r="B34" s="3" t="s">
        <v>9</v>
      </c>
      <c r="C34" s="3" t="s">
        <v>10</v>
      </c>
      <c r="D34" s="3" t="s">
        <v>81</v>
      </c>
      <c r="E34" s="2">
        <v>2.0107251E7</v>
      </c>
      <c r="F34" s="3" t="s">
        <v>82</v>
      </c>
      <c r="G34" s="2">
        <v>120.0</v>
      </c>
      <c r="H34" s="4">
        <f>IFERROR(__xludf.DUMMYFUNCTION("SPLIT(GETLATLONG(F34 &amp; "", "" &amp; B34), ""|"")"),-6.1805357)</f>
        <v>-6.1805357</v>
      </c>
      <c r="I34" s="5">
        <f>IFERROR(__xludf.DUMMYFUNCTION("""COMPUTED_VALUE"""),106.8280366)</f>
        <v>106.8280366</v>
      </c>
    </row>
    <row r="35">
      <c r="A35" s="2">
        <v>2024.0</v>
      </c>
      <c r="B35" s="3" t="s">
        <v>23</v>
      </c>
      <c r="C35" s="3" t="s">
        <v>10</v>
      </c>
      <c r="D35" s="3" t="s">
        <v>83</v>
      </c>
      <c r="E35" s="2">
        <v>2.0107283E7</v>
      </c>
      <c r="F35" s="3" t="s">
        <v>84</v>
      </c>
      <c r="G35" s="2">
        <v>291.0</v>
      </c>
      <c r="H35" s="4">
        <f>IFERROR(__xludf.DUMMYFUNCTION("SPLIT(GETLATLONG(F35 &amp; "", "" &amp; B35), ""|"")"),-6.2577696)</f>
        <v>-6.2577696</v>
      </c>
      <c r="I35" s="5">
        <f>IFERROR(__xludf.DUMMYFUNCTION("""COMPUTED_VALUE"""),106.7819521)</f>
        <v>106.7819521</v>
      </c>
    </row>
    <row r="36">
      <c r="A36" s="2">
        <v>2024.0</v>
      </c>
      <c r="B36" s="3" t="s">
        <v>23</v>
      </c>
      <c r="C36" s="3" t="s">
        <v>10</v>
      </c>
      <c r="D36" s="3" t="s">
        <v>85</v>
      </c>
      <c r="E36" s="2">
        <v>2.010729E7</v>
      </c>
      <c r="F36" s="3" t="s">
        <v>86</v>
      </c>
      <c r="G36" s="2">
        <v>95.0</v>
      </c>
      <c r="H36" s="4">
        <f>IFERROR(__xludf.DUMMYFUNCTION("SPLIT(GETLATLONG(F36 &amp; "", "" &amp; B36), ""|"")"),-6.3162048)</f>
        <v>-6.3162048</v>
      </c>
      <c r="I36" s="5">
        <f>IFERROR(__xludf.DUMMYFUNCTION("""COMPUTED_VALUE"""),106.8145793)</f>
        <v>106.8145793</v>
      </c>
    </row>
    <row r="37">
      <c r="A37" s="2">
        <v>2024.0</v>
      </c>
      <c r="B37" s="3" t="s">
        <v>18</v>
      </c>
      <c r="C37" s="3" t="s">
        <v>10</v>
      </c>
      <c r="D37" s="3" t="s">
        <v>87</v>
      </c>
      <c r="E37" s="2">
        <v>2.010737E7</v>
      </c>
      <c r="F37" s="3" t="s">
        <v>88</v>
      </c>
      <c r="G37" s="2">
        <v>230.0</v>
      </c>
      <c r="H37" s="4">
        <f>IFERROR(__xludf.DUMMYFUNCTION("SPLIT(GETLATLONG(F37 &amp; "", "" &amp; B37), ""|"")"),-6.1196497)</f>
        <v>-6.1196497</v>
      </c>
      <c r="I37" s="5">
        <f>IFERROR(__xludf.DUMMYFUNCTION("""COMPUTED_VALUE"""),106.7924011)</f>
        <v>106.7924011</v>
      </c>
    </row>
    <row r="38">
      <c r="A38" s="2">
        <v>2024.0</v>
      </c>
      <c r="B38" s="3" t="s">
        <v>23</v>
      </c>
      <c r="C38" s="3" t="s">
        <v>13</v>
      </c>
      <c r="D38" s="3" t="s">
        <v>89</v>
      </c>
      <c r="E38" s="2">
        <v>2.0108331E7</v>
      </c>
      <c r="F38" s="3" t="s">
        <v>90</v>
      </c>
      <c r="G38" s="2">
        <v>19.0</v>
      </c>
      <c r="H38" s="4">
        <f>IFERROR(__xludf.DUMMYFUNCTION("SPLIT(GETLATLONG(F38 &amp; "", "" &amp; B38), ""|"")"),-6.266089)</f>
        <v>-6.266089</v>
      </c>
      <c r="I38" s="5">
        <f>IFERROR(__xludf.DUMMYFUNCTION("""COMPUTED_VALUE"""),106.7656861)</f>
        <v>106.7656861</v>
      </c>
    </row>
    <row r="39">
      <c r="A39" s="2">
        <v>2024.0</v>
      </c>
      <c r="B39" s="3" t="s">
        <v>35</v>
      </c>
      <c r="C39" s="3" t="s">
        <v>24</v>
      </c>
      <c r="D39" s="3" t="s">
        <v>91</v>
      </c>
      <c r="E39" s="2">
        <v>2.0108516E7</v>
      </c>
      <c r="F39" s="3" t="s">
        <v>92</v>
      </c>
      <c r="G39" s="2">
        <v>409.0</v>
      </c>
      <c r="H39" s="4">
        <f>IFERROR(__xludf.DUMMYFUNCTION("SPLIT(GETLATLONG(F39 &amp; "", "" &amp; B39), ""|"")"),-6.1935444)</f>
        <v>-6.1935444</v>
      </c>
      <c r="I39" s="5">
        <f>IFERROR(__xludf.DUMMYFUNCTION("""COMPUTED_VALUE"""),106.7419278)</f>
        <v>106.7419278</v>
      </c>
    </row>
    <row r="40">
      <c r="A40" s="2">
        <v>2024.0</v>
      </c>
      <c r="B40" s="3" t="s">
        <v>35</v>
      </c>
      <c r="C40" s="3" t="s">
        <v>13</v>
      </c>
      <c r="D40" s="3" t="s">
        <v>93</v>
      </c>
      <c r="E40" s="2">
        <v>2.0108798E7</v>
      </c>
      <c r="F40" s="3" t="s">
        <v>37</v>
      </c>
      <c r="G40" s="2">
        <v>309.0</v>
      </c>
      <c r="H40" s="4">
        <f>IFERROR(__xludf.DUMMYFUNCTION("SPLIT(GETLATLONG(F40 &amp; "", "" &amp; B40), ""|"")"),-6.2034206)</f>
        <v>-6.2034206</v>
      </c>
      <c r="I40" s="5">
        <f>IFERROR(__xludf.DUMMYFUNCTION("""COMPUTED_VALUE"""),106.7454526)</f>
        <v>106.7454526</v>
      </c>
    </row>
    <row r="41">
      <c r="A41" s="2">
        <v>2024.0</v>
      </c>
      <c r="B41" s="3" t="s">
        <v>78</v>
      </c>
      <c r="C41" s="3" t="s">
        <v>24</v>
      </c>
      <c r="D41" s="3" t="s">
        <v>94</v>
      </c>
      <c r="E41" s="2">
        <v>2.0108866E7</v>
      </c>
      <c r="F41" s="3" t="s">
        <v>95</v>
      </c>
      <c r="G41" s="2">
        <v>316.0</v>
      </c>
      <c r="H41" s="4">
        <f>IFERROR(__xludf.DUMMYFUNCTION("SPLIT(GETLATLONG(F41 &amp; "", "" &amp; B41), ""|"")"),-6.3105723)</f>
        <v>-6.3105723</v>
      </c>
      <c r="I41" s="5">
        <f>IFERROR(__xludf.DUMMYFUNCTION("""COMPUTED_VALUE"""),106.9187772)</f>
        <v>106.9187772</v>
      </c>
    </row>
    <row r="42">
      <c r="A42" s="2">
        <v>2024.0</v>
      </c>
      <c r="B42" s="3" t="s">
        <v>35</v>
      </c>
      <c r="C42" s="3" t="s">
        <v>24</v>
      </c>
      <c r="D42" s="3" t="s">
        <v>96</v>
      </c>
      <c r="E42" s="2">
        <v>2.0108937E7</v>
      </c>
      <c r="F42" s="3" t="s">
        <v>41</v>
      </c>
      <c r="G42" s="2">
        <v>101.0</v>
      </c>
      <c r="H42" s="4">
        <f>IFERROR(__xludf.DUMMYFUNCTION("SPLIT(GETLATLONG(F42 &amp; "", "" &amp; B42), ""|"")"),-6.1866383)</f>
        <v>-6.1866383</v>
      </c>
      <c r="I42" s="5">
        <f>IFERROR(__xludf.DUMMYFUNCTION("""COMPUTED_VALUE"""),106.7425049)</f>
        <v>106.7425049</v>
      </c>
    </row>
    <row r="43">
      <c r="A43" s="2">
        <v>2024.0</v>
      </c>
      <c r="B43" s="3" t="s">
        <v>35</v>
      </c>
      <c r="C43" s="3" t="s">
        <v>24</v>
      </c>
      <c r="D43" s="3" t="s">
        <v>97</v>
      </c>
      <c r="E43" s="2">
        <v>2.0108939E7</v>
      </c>
      <c r="F43" s="3" t="s">
        <v>98</v>
      </c>
      <c r="G43" s="2">
        <v>172.0</v>
      </c>
      <c r="H43" s="4">
        <f>IFERROR(__xludf.DUMMYFUNCTION("SPLIT(GETLATLONG(F43 &amp; "", "" &amp; B43), ""|"")"),-6.2214825)</f>
        <v>-6.2214825</v>
      </c>
      <c r="I43" s="5">
        <f>IFERROR(__xludf.DUMMYFUNCTION("""COMPUTED_VALUE"""),106.7530068)</f>
        <v>106.7530068</v>
      </c>
    </row>
    <row r="44">
      <c r="A44" s="2">
        <v>2024.0</v>
      </c>
      <c r="B44" s="3" t="s">
        <v>35</v>
      </c>
      <c r="C44" s="3" t="s">
        <v>24</v>
      </c>
      <c r="D44" s="3" t="s">
        <v>99</v>
      </c>
      <c r="E44" s="2">
        <v>2.0109055E7</v>
      </c>
      <c r="F44" s="3" t="s">
        <v>100</v>
      </c>
      <c r="G44" s="2">
        <v>364.0</v>
      </c>
      <c r="H44" s="4">
        <f>IFERROR(__xludf.DUMMYFUNCTION("SPLIT(GETLATLONG(F44 &amp; "", "" &amp; B44), ""|"")"),-6.2409178)</f>
        <v>-6.2409178</v>
      </c>
      <c r="I44" s="5">
        <f>IFERROR(__xludf.DUMMYFUNCTION("""COMPUTED_VALUE"""),106.941354)</f>
        <v>106.941354</v>
      </c>
    </row>
    <row r="45">
      <c r="A45" s="2">
        <v>2024.0</v>
      </c>
      <c r="B45" s="3" t="s">
        <v>78</v>
      </c>
      <c r="C45" s="3" t="s">
        <v>24</v>
      </c>
      <c r="D45" s="3" t="s">
        <v>101</v>
      </c>
      <c r="E45" s="2">
        <v>2.0109099E7</v>
      </c>
      <c r="F45" s="3" t="s">
        <v>102</v>
      </c>
      <c r="G45" s="2">
        <v>292.0</v>
      </c>
      <c r="H45" s="4">
        <f>IFERROR(__xludf.DUMMYFUNCTION("SPLIT(GETLATLONG(F45 &amp; "", "" &amp; B45), ""|"")"),-6.1797954)</f>
        <v>-6.1797954</v>
      </c>
      <c r="I45" s="5">
        <f>IFERROR(__xludf.DUMMYFUNCTION("""COMPUTED_VALUE"""),106.8877574)</f>
        <v>106.8877574</v>
      </c>
    </row>
    <row r="46">
      <c r="A46" s="2">
        <v>2024.0</v>
      </c>
      <c r="B46" s="3" t="s">
        <v>18</v>
      </c>
      <c r="C46" s="3" t="s">
        <v>24</v>
      </c>
      <c r="D46" s="3" t="s">
        <v>103</v>
      </c>
      <c r="E46" s="2">
        <v>2.0109172E7</v>
      </c>
      <c r="F46" s="3" t="s">
        <v>104</v>
      </c>
      <c r="G46" s="2">
        <v>104.0</v>
      </c>
      <c r="H46" s="4">
        <f>IFERROR(__xludf.DUMMYFUNCTION("SPLIT(GETLATLONG(F46 &amp; "", "" &amp; B46), ""|"")"),-6.1461581)</f>
        <v>-6.1461581</v>
      </c>
      <c r="I46" s="5">
        <f>IFERROR(__xludf.DUMMYFUNCTION("""COMPUTED_VALUE"""),106.8946607)</f>
        <v>106.8946607</v>
      </c>
    </row>
    <row r="47">
      <c r="A47" s="2">
        <v>2024.0</v>
      </c>
      <c r="B47" s="3" t="s">
        <v>35</v>
      </c>
      <c r="C47" s="3" t="s">
        <v>24</v>
      </c>
      <c r="D47" s="3" t="s">
        <v>105</v>
      </c>
      <c r="E47" s="2">
        <v>2.0109213E7</v>
      </c>
      <c r="F47" s="3" t="s">
        <v>106</v>
      </c>
      <c r="G47" s="2">
        <v>523.0</v>
      </c>
      <c r="H47" s="4">
        <f>IFERROR(__xludf.DUMMYFUNCTION("SPLIT(GETLATLONG(F47 &amp; "", "" &amp; B47), ""|"")"),-6.1746064)</f>
        <v>-6.1746064</v>
      </c>
      <c r="I47" s="5">
        <f>IFERROR(__xludf.DUMMYFUNCTION("""COMPUTED_VALUE"""),106.71211)</f>
        <v>106.71211</v>
      </c>
    </row>
    <row r="48">
      <c r="A48" s="2">
        <v>2024.0</v>
      </c>
      <c r="B48" s="3" t="s">
        <v>35</v>
      </c>
      <c r="C48" s="3" t="s">
        <v>24</v>
      </c>
      <c r="D48" s="3" t="s">
        <v>107</v>
      </c>
      <c r="E48" s="2">
        <v>2.0109311E7</v>
      </c>
      <c r="F48" s="3" t="s">
        <v>108</v>
      </c>
      <c r="G48" s="2">
        <v>59.0</v>
      </c>
      <c r="H48" s="4">
        <f>IFERROR(__xludf.DUMMYFUNCTION("SPLIT(GETLATLONG(F48 &amp; "", "" &amp; B48), ""|"")"),-6.1995997)</f>
        <v>-6.1995997</v>
      </c>
      <c r="I48" s="5">
        <f>IFERROR(__xludf.DUMMYFUNCTION("""COMPUTED_VALUE"""),106.7384143)</f>
        <v>106.7384143</v>
      </c>
    </row>
    <row r="49">
      <c r="A49" s="2">
        <v>2024.0</v>
      </c>
      <c r="B49" s="3" t="s">
        <v>78</v>
      </c>
      <c r="C49" s="3" t="s">
        <v>13</v>
      </c>
      <c r="D49" s="3" t="s">
        <v>109</v>
      </c>
      <c r="E49" s="2">
        <v>2.010936E7</v>
      </c>
      <c r="F49" s="3" t="s">
        <v>110</v>
      </c>
      <c r="G49" s="2">
        <v>320.0</v>
      </c>
      <c r="H49" s="4">
        <f>IFERROR(__xludf.DUMMYFUNCTION("SPLIT(GETLATLONG(F49 &amp; "", "" &amp; B49), ""|"")"),-6.3105723)</f>
        <v>-6.3105723</v>
      </c>
      <c r="I49" s="5">
        <f>IFERROR(__xludf.DUMMYFUNCTION("""COMPUTED_VALUE"""),106.9187772)</f>
        <v>106.9187772</v>
      </c>
    </row>
    <row r="50">
      <c r="A50" s="2">
        <v>2024.0</v>
      </c>
      <c r="B50" s="3" t="s">
        <v>35</v>
      </c>
      <c r="C50" s="3" t="s">
        <v>24</v>
      </c>
      <c r="D50" s="3" t="s">
        <v>111</v>
      </c>
      <c r="E50" s="2">
        <v>2.0109361E7</v>
      </c>
      <c r="F50" s="3" t="s">
        <v>112</v>
      </c>
      <c r="G50" s="2">
        <v>292.0</v>
      </c>
      <c r="H50" s="4">
        <f>IFERROR(__xludf.DUMMYFUNCTION("SPLIT(GETLATLONG(F50 &amp; "", "" &amp; B50), ""|"")"),-6.1966958)</f>
        <v>-6.1966958</v>
      </c>
      <c r="I50" s="5">
        <f>IFERROR(__xludf.DUMMYFUNCTION("""COMPUTED_VALUE"""),106.7319117)</f>
        <v>106.7319117</v>
      </c>
    </row>
    <row r="51">
      <c r="A51" s="2">
        <v>2024.0</v>
      </c>
      <c r="B51" s="3" t="s">
        <v>18</v>
      </c>
      <c r="C51" s="3" t="s">
        <v>24</v>
      </c>
      <c r="D51" s="3" t="s">
        <v>113</v>
      </c>
      <c r="E51" s="2">
        <v>2.0109363E7</v>
      </c>
      <c r="F51" s="3" t="s">
        <v>114</v>
      </c>
      <c r="G51" s="2">
        <v>202.0</v>
      </c>
      <c r="H51" s="4">
        <f>IFERROR(__xludf.DUMMYFUNCTION("SPLIT(GETLATLONG(F51 &amp; "", "" &amp; B51), ""|"")"),-6.1778235)</f>
        <v>-6.1778235</v>
      </c>
      <c r="I51" s="5">
        <f>IFERROR(__xludf.DUMMYFUNCTION("""COMPUTED_VALUE"""),106.9539221)</f>
        <v>106.9539221</v>
      </c>
    </row>
    <row r="52">
      <c r="A52" s="2">
        <v>2024.0</v>
      </c>
      <c r="B52" s="3" t="s">
        <v>18</v>
      </c>
      <c r="C52" s="3" t="s">
        <v>24</v>
      </c>
      <c r="D52" s="3" t="s">
        <v>115</v>
      </c>
      <c r="E52" s="2">
        <v>2.0109364E7</v>
      </c>
      <c r="F52" s="3" t="s">
        <v>116</v>
      </c>
      <c r="G52" s="2">
        <v>339.0</v>
      </c>
      <c r="H52" s="4">
        <f>IFERROR(__xludf.DUMMYFUNCTION("SPLIT(GETLATLONG(F52 &amp; "", "" &amp; B52), ""|"")"),-6.1266261)</f>
        <v>-6.1266261</v>
      </c>
      <c r="I52" s="5">
        <f>IFERROR(__xludf.DUMMYFUNCTION("""COMPUTED_VALUE"""),106.7655833)</f>
        <v>106.7655833</v>
      </c>
    </row>
    <row r="53">
      <c r="A53" s="2">
        <v>2024.0</v>
      </c>
      <c r="B53" s="3" t="s">
        <v>35</v>
      </c>
      <c r="C53" s="3" t="s">
        <v>13</v>
      </c>
      <c r="D53" s="3" t="s">
        <v>117</v>
      </c>
      <c r="E53" s="2">
        <v>2.0109365E7</v>
      </c>
      <c r="F53" s="3" t="s">
        <v>41</v>
      </c>
      <c r="G53" s="2">
        <v>81.0</v>
      </c>
      <c r="H53" s="4">
        <f>IFERROR(__xludf.DUMMYFUNCTION("SPLIT(GETLATLONG(F53 &amp; "", "" &amp; B53), ""|"")"),-6.1866383)</f>
        <v>-6.1866383</v>
      </c>
      <c r="I53" s="5">
        <f>IFERROR(__xludf.DUMMYFUNCTION("""COMPUTED_VALUE"""),106.7425049)</f>
        <v>106.7425049</v>
      </c>
    </row>
    <row r="54">
      <c r="A54" s="2">
        <v>2024.0</v>
      </c>
      <c r="B54" s="3" t="s">
        <v>23</v>
      </c>
      <c r="C54" s="3" t="s">
        <v>13</v>
      </c>
      <c r="D54" s="3" t="s">
        <v>118</v>
      </c>
      <c r="E54" s="2">
        <v>2.0109371E7</v>
      </c>
      <c r="F54" s="3" t="s">
        <v>67</v>
      </c>
      <c r="G54" s="2">
        <v>332.0</v>
      </c>
      <c r="H54" s="4">
        <f>IFERROR(__xludf.DUMMYFUNCTION("SPLIT(GETLATLONG(F54 &amp; "", "" &amp; B54), ""|"")"),-6.25924829999999)</f>
        <v>-6.2592483</v>
      </c>
      <c r="I54" s="5">
        <f>IFERROR(__xludf.DUMMYFUNCTION("""COMPUTED_VALUE"""),106.8061695)</f>
        <v>106.8061695</v>
      </c>
    </row>
    <row r="55">
      <c r="A55" s="2">
        <v>2024.0</v>
      </c>
      <c r="B55" s="3" t="s">
        <v>35</v>
      </c>
      <c r="C55" s="3" t="s">
        <v>24</v>
      </c>
      <c r="D55" s="3" t="s">
        <v>119</v>
      </c>
      <c r="E55" s="2">
        <v>2.0109377E7</v>
      </c>
      <c r="F55" s="3" t="s">
        <v>120</v>
      </c>
      <c r="G55" s="2">
        <v>599.0</v>
      </c>
      <c r="H55" s="4">
        <f>IFERROR(__xludf.DUMMYFUNCTION("SPLIT(GETLATLONG(F55 &amp; "", "" &amp; B55), ""|"")"),-6.1742049)</f>
        <v>-6.1742049</v>
      </c>
      <c r="I55" s="5">
        <f>IFERROR(__xludf.DUMMYFUNCTION("""COMPUTED_VALUE"""),106.744253)</f>
        <v>106.744253</v>
      </c>
    </row>
    <row r="56">
      <c r="A56" s="2">
        <v>2024.0</v>
      </c>
      <c r="B56" s="3" t="s">
        <v>23</v>
      </c>
      <c r="C56" s="3" t="s">
        <v>13</v>
      </c>
      <c r="D56" s="3" t="s">
        <v>121</v>
      </c>
      <c r="E56" s="2">
        <v>2.0109393E7</v>
      </c>
      <c r="F56" s="3" t="s">
        <v>122</v>
      </c>
      <c r="G56" s="2">
        <v>70.0</v>
      </c>
      <c r="H56" s="4">
        <f>IFERROR(__xludf.DUMMYFUNCTION("SPLIT(GETLATLONG(F56 &amp; "", "" &amp; B56), ""|"")"),-6.2452647)</f>
        <v>-6.2452647</v>
      </c>
      <c r="I56" s="5">
        <f>IFERROR(__xludf.DUMMYFUNCTION("""COMPUTED_VALUE"""),106.7816134)</f>
        <v>106.7816134</v>
      </c>
    </row>
    <row r="57">
      <c r="A57" s="2">
        <v>2024.0</v>
      </c>
      <c r="B57" s="3" t="s">
        <v>18</v>
      </c>
      <c r="C57" s="3" t="s">
        <v>24</v>
      </c>
      <c r="D57" s="3" t="s">
        <v>123</v>
      </c>
      <c r="E57" s="2">
        <v>2.0109397E7</v>
      </c>
      <c r="F57" s="3" t="s">
        <v>124</v>
      </c>
      <c r="G57" s="2">
        <v>392.0</v>
      </c>
      <c r="H57" s="4">
        <f>IFERROR(__xludf.DUMMYFUNCTION("SPLIT(GETLATLONG(F57 &amp; "", "" &amp; B57), ""|"")"),-6.1668797)</f>
        <v>-6.1668797</v>
      </c>
      <c r="I57" s="5">
        <f>IFERROR(__xludf.DUMMYFUNCTION("""COMPUTED_VALUE"""),106.9205689)</f>
        <v>106.9205689</v>
      </c>
    </row>
    <row r="58">
      <c r="A58" s="2">
        <v>2024.0</v>
      </c>
      <c r="B58" s="3" t="s">
        <v>23</v>
      </c>
      <c r="C58" s="3" t="s">
        <v>24</v>
      </c>
      <c r="D58" s="3" t="s">
        <v>125</v>
      </c>
      <c r="E58" s="2">
        <v>2.0109405E7</v>
      </c>
      <c r="F58" s="3" t="s">
        <v>126</v>
      </c>
      <c r="G58" s="2">
        <v>169.0</v>
      </c>
      <c r="H58" s="4">
        <f>IFERROR(__xludf.DUMMYFUNCTION("SPLIT(GETLATLONG(F58 &amp; "", "" &amp; B58), ""|"")"),-6.2849968)</f>
        <v>-6.2849968</v>
      </c>
      <c r="I58" s="5">
        <f>IFERROR(__xludf.DUMMYFUNCTION("""COMPUTED_VALUE"""),106.7903972)</f>
        <v>106.7903972</v>
      </c>
    </row>
    <row r="59">
      <c r="A59" s="2">
        <v>2024.0</v>
      </c>
      <c r="B59" s="3" t="s">
        <v>18</v>
      </c>
      <c r="C59" s="3" t="s">
        <v>24</v>
      </c>
      <c r="D59" s="3" t="s">
        <v>127</v>
      </c>
      <c r="E59" s="2">
        <v>2.0109407E7</v>
      </c>
      <c r="F59" s="3" t="s">
        <v>128</v>
      </c>
      <c r="G59" s="2">
        <v>201.0</v>
      </c>
      <c r="H59" s="4">
        <f>IFERROR(__xludf.DUMMYFUNCTION("SPLIT(GETLATLONG(F59 &amp; "", "" &amp; B59), ""|"")"),-6.1196556)</f>
        <v>-6.1196556</v>
      </c>
      <c r="I59" s="5">
        <f>IFERROR(__xludf.DUMMYFUNCTION("""COMPUTED_VALUE"""),106.7799924)</f>
        <v>106.7799924</v>
      </c>
    </row>
    <row r="60">
      <c r="A60" s="2">
        <v>2024.0</v>
      </c>
      <c r="B60" s="3" t="s">
        <v>35</v>
      </c>
      <c r="C60" s="3" t="s">
        <v>13</v>
      </c>
      <c r="D60" s="3" t="s">
        <v>129</v>
      </c>
      <c r="E60" s="2">
        <v>2.0109428E7</v>
      </c>
      <c r="F60" s="3" t="s">
        <v>130</v>
      </c>
      <c r="G60" s="2">
        <v>132.0</v>
      </c>
      <c r="H60" s="4">
        <f>IFERROR(__xludf.DUMMYFUNCTION("SPLIT(GETLATLONG(F60 &amp; "", "" &amp; B60), ""|"")"),-6.172958)</f>
        <v>-6.172958</v>
      </c>
      <c r="I60" s="5">
        <f>IFERROR(__xludf.DUMMYFUNCTION("""COMPUTED_VALUE"""),106.788526)</f>
        <v>106.788526</v>
      </c>
    </row>
    <row r="61">
      <c r="A61" s="2">
        <v>2024.0</v>
      </c>
      <c r="B61" s="3" t="s">
        <v>18</v>
      </c>
      <c r="C61" s="3" t="s">
        <v>13</v>
      </c>
      <c r="D61" s="3" t="s">
        <v>131</v>
      </c>
      <c r="E61" s="2">
        <v>2.0109434E7</v>
      </c>
      <c r="F61" s="3" t="s">
        <v>132</v>
      </c>
      <c r="G61" s="2">
        <v>207.0</v>
      </c>
      <c r="H61" s="4">
        <f>IFERROR(__xludf.DUMMYFUNCTION("SPLIT(GETLATLONG(F61 &amp; "", "" &amp; B61), ""|"")"),-6.1317287)</f>
        <v>-6.1317287</v>
      </c>
      <c r="I61" s="5">
        <f>IFERROR(__xludf.DUMMYFUNCTION("""COMPUTED_VALUE"""),106.7551152)</f>
        <v>106.7551152</v>
      </c>
    </row>
    <row r="62">
      <c r="A62" s="2">
        <v>2024.0</v>
      </c>
      <c r="B62" s="3" t="s">
        <v>23</v>
      </c>
      <c r="C62" s="3" t="s">
        <v>24</v>
      </c>
      <c r="D62" s="3" t="s">
        <v>133</v>
      </c>
      <c r="E62" s="2">
        <v>2.0109435E7</v>
      </c>
      <c r="F62" s="3" t="s">
        <v>134</v>
      </c>
      <c r="G62" s="2">
        <v>83.0</v>
      </c>
      <c r="H62" s="4">
        <f>IFERROR(__xludf.DUMMYFUNCTION("SPLIT(GETLATLONG(F62 &amp; "", "" &amp; B62), ""|"")"),-6.32009119999999)</f>
        <v>-6.3200912</v>
      </c>
      <c r="I62" s="5">
        <f>IFERROR(__xludf.DUMMYFUNCTION("""COMPUTED_VALUE"""),106.8142121)</f>
        <v>106.8142121</v>
      </c>
    </row>
    <row r="63">
      <c r="A63" s="2">
        <v>2024.0</v>
      </c>
      <c r="B63" s="3" t="s">
        <v>35</v>
      </c>
      <c r="C63" s="3" t="s">
        <v>24</v>
      </c>
      <c r="D63" s="3" t="s">
        <v>135</v>
      </c>
      <c r="E63" s="2">
        <v>2.0109438E7</v>
      </c>
      <c r="F63" s="3" t="s">
        <v>136</v>
      </c>
      <c r="G63" s="2">
        <v>108.0</v>
      </c>
      <c r="H63" s="4">
        <f>IFERROR(__xludf.DUMMYFUNCTION("SPLIT(GETLATLONG(F63 &amp; "", "" &amp; B63), ""|"")"),-6.1969031)</f>
        <v>-6.1969031</v>
      </c>
      <c r="I63" s="5">
        <f>IFERROR(__xludf.DUMMYFUNCTION("""COMPUTED_VALUE"""),106.7611533)</f>
        <v>106.7611533</v>
      </c>
    </row>
    <row r="64">
      <c r="A64" s="2">
        <v>2024.0</v>
      </c>
      <c r="B64" s="3" t="s">
        <v>18</v>
      </c>
      <c r="C64" s="3" t="s">
        <v>24</v>
      </c>
      <c r="D64" s="3" t="s">
        <v>137</v>
      </c>
      <c r="E64" s="2">
        <v>2.0109443E7</v>
      </c>
      <c r="F64" s="3" t="s">
        <v>138</v>
      </c>
      <c r="G64" s="2">
        <v>608.0</v>
      </c>
      <c r="H64" s="4">
        <f>IFERROR(__xludf.DUMMYFUNCTION("SPLIT(GETLATLONG(F64 &amp; "", "" &amp; B64), ""|"")"),-6.1245205)</f>
        <v>-6.1245205</v>
      </c>
      <c r="I64" s="5">
        <f>IFERROR(__xludf.DUMMYFUNCTION("""COMPUTED_VALUE"""),106.7964508)</f>
        <v>106.7964508</v>
      </c>
    </row>
    <row r="65">
      <c r="A65" s="2">
        <v>2024.0</v>
      </c>
      <c r="B65" s="3" t="s">
        <v>35</v>
      </c>
      <c r="C65" s="3" t="s">
        <v>13</v>
      </c>
      <c r="D65" s="3" t="s">
        <v>139</v>
      </c>
      <c r="E65" s="2">
        <v>2.0109448E7</v>
      </c>
      <c r="F65" s="3" t="s">
        <v>39</v>
      </c>
      <c r="G65" s="2">
        <v>96.0</v>
      </c>
      <c r="H65" s="4">
        <f>IFERROR(__xludf.DUMMYFUNCTION("SPLIT(GETLATLONG(F65 &amp; "", "" &amp; B65), ""|"")"),-6.1862186)</f>
        <v>-6.1862186</v>
      </c>
      <c r="I65" s="5">
        <f>IFERROR(__xludf.DUMMYFUNCTION("""COMPUTED_VALUE"""),106.7814023)</f>
        <v>106.7814023</v>
      </c>
    </row>
    <row r="66">
      <c r="A66" s="2">
        <v>2024.0</v>
      </c>
      <c r="B66" s="3" t="s">
        <v>78</v>
      </c>
      <c r="C66" s="3" t="s">
        <v>13</v>
      </c>
      <c r="D66" s="3" t="s">
        <v>140</v>
      </c>
      <c r="E66" s="2">
        <v>2.0109455E7</v>
      </c>
      <c r="F66" s="3" t="s">
        <v>141</v>
      </c>
      <c r="G66" s="2">
        <v>162.0</v>
      </c>
      <c r="H66" s="4">
        <f>IFERROR(__xludf.DUMMYFUNCTION("SPLIT(GETLATLONG(F66 &amp; "", "" &amp; B66), ""|"")"),-6.1819367)</f>
        <v>-6.1819367</v>
      </c>
      <c r="I66" s="5">
        <f>IFERROR(__xludf.DUMMYFUNCTION("""COMPUTED_VALUE"""),106.886955)</f>
        <v>106.886955</v>
      </c>
    </row>
    <row r="67">
      <c r="A67" s="2">
        <v>2024.0</v>
      </c>
      <c r="B67" s="3" t="s">
        <v>18</v>
      </c>
      <c r="C67" s="3" t="s">
        <v>13</v>
      </c>
      <c r="D67" s="3" t="s">
        <v>142</v>
      </c>
      <c r="E67" s="2">
        <v>2.0109472E7</v>
      </c>
      <c r="F67" s="3" t="s">
        <v>138</v>
      </c>
      <c r="G67" s="2">
        <v>388.0</v>
      </c>
      <c r="H67" s="4">
        <f>IFERROR(__xludf.DUMMYFUNCTION("SPLIT(GETLATLONG(F67 &amp; "", "" &amp; B67), ""|"")"),-6.1245205)</f>
        <v>-6.1245205</v>
      </c>
      <c r="I67" s="5">
        <f>IFERROR(__xludf.DUMMYFUNCTION("""COMPUTED_VALUE"""),106.7964508)</f>
        <v>106.7964508</v>
      </c>
    </row>
    <row r="68">
      <c r="A68" s="2">
        <v>2024.0</v>
      </c>
      <c r="B68" s="3" t="s">
        <v>35</v>
      </c>
      <c r="C68" s="3" t="s">
        <v>24</v>
      </c>
      <c r="D68" s="3" t="s">
        <v>143</v>
      </c>
      <c r="E68" s="2">
        <v>2.0109497E7</v>
      </c>
      <c r="F68" s="3" t="s">
        <v>144</v>
      </c>
      <c r="G68" s="2">
        <v>322.0</v>
      </c>
      <c r="H68" s="4">
        <f>IFERROR(__xludf.DUMMYFUNCTION("SPLIT(GETLATLONG(F68 &amp; "", "" &amp; B68), ""|"")"),-6.2174649)</f>
        <v>-6.2174649</v>
      </c>
      <c r="I68" s="5">
        <f>IFERROR(__xludf.DUMMYFUNCTION("""COMPUTED_VALUE"""),106.7677658)</f>
        <v>106.7677658</v>
      </c>
    </row>
    <row r="69">
      <c r="A69" s="2">
        <v>2024.0</v>
      </c>
      <c r="B69" s="3" t="s">
        <v>35</v>
      </c>
      <c r="C69" s="3" t="s">
        <v>13</v>
      </c>
      <c r="D69" s="3" t="s">
        <v>145</v>
      </c>
      <c r="E69" s="2">
        <v>2.0109498E7</v>
      </c>
      <c r="F69" s="3" t="s">
        <v>146</v>
      </c>
      <c r="G69" s="2">
        <v>110.0</v>
      </c>
      <c r="H69" s="4">
        <f>IFERROR(__xludf.DUMMYFUNCTION("SPLIT(GETLATLONG(F69 &amp; "", "" &amp; B69), ""|"")"),-6.2174649)</f>
        <v>-6.2174649</v>
      </c>
      <c r="I69" s="5">
        <f>IFERROR(__xludf.DUMMYFUNCTION("""COMPUTED_VALUE"""),106.7677658)</f>
        <v>106.7677658</v>
      </c>
    </row>
    <row r="70">
      <c r="A70" s="2">
        <v>2024.0</v>
      </c>
      <c r="B70" s="3" t="s">
        <v>18</v>
      </c>
      <c r="C70" s="3" t="s">
        <v>13</v>
      </c>
      <c r="D70" s="3" t="s">
        <v>147</v>
      </c>
      <c r="E70" s="2">
        <v>2.0109506E7</v>
      </c>
      <c r="F70" s="3" t="s">
        <v>148</v>
      </c>
      <c r="G70" s="2">
        <v>329.0</v>
      </c>
      <c r="H70" s="4">
        <f>IFERROR(__xludf.DUMMYFUNCTION("SPLIT(GETLATLONG(F70 &amp; "", "" &amp; B70), ""|"")"),-6.1126498)</f>
        <v>-6.1126498</v>
      </c>
      <c r="I70" s="5">
        <f>IFERROR(__xludf.DUMMYFUNCTION("""COMPUTED_VALUE"""),106.7494496)</f>
        <v>106.7494496</v>
      </c>
    </row>
    <row r="71">
      <c r="A71" s="2">
        <v>2024.0</v>
      </c>
      <c r="B71" s="3" t="s">
        <v>18</v>
      </c>
      <c r="C71" s="3" t="s">
        <v>24</v>
      </c>
      <c r="D71" s="3" t="s">
        <v>149</v>
      </c>
      <c r="E71" s="2">
        <v>2.0109508E7</v>
      </c>
      <c r="F71" s="3" t="s">
        <v>150</v>
      </c>
      <c r="G71" s="2">
        <v>532.0</v>
      </c>
      <c r="H71" s="4">
        <f>IFERROR(__xludf.DUMMYFUNCTION("SPLIT(GETLATLONG(F71 &amp; "", "" &amp; B71), ""|"")"),-6.1126498)</f>
        <v>-6.1126498</v>
      </c>
      <c r="I71" s="5">
        <f>IFERROR(__xludf.DUMMYFUNCTION("""COMPUTED_VALUE"""),106.7494496)</f>
        <v>106.7494496</v>
      </c>
    </row>
    <row r="72">
      <c r="A72" s="2">
        <v>2024.0</v>
      </c>
      <c r="B72" s="3" t="s">
        <v>18</v>
      </c>
      <c r="C72" s="3" t="s">
        <v>13</v>
      </c>
      <c r="D72" s="3" t="s">
        <v>151</v>
      </c>
      <c r="E72" s="2">
        <v>2.0109509E7</v>
      </c>
      <c r="F72" s="3" t="s">
        <v>152</v>
      </c>
      <c r="G72" s="2">
        <v>188.0</v>
      </c>
      <c r="H72" s="4">
        <f>IFERROR(__xludf.DUMMYFUNCTION("SPLIT(GETLATLONG(F72 &amp; "", "" &amp; B72), ""|"")"),-6.1719352)</f>
        <v>-6.1719352</v>
      </c>
      <c r="I72" s="5">
        <f>IFERROR(__xludf.DUMMYFUNCTION("""COMPUTED_VALUE"""),106.956742)</f>
        <v>106.956742</v>
      </c>
    </row>
    <row r="73">
      <c r="A73" s="2">
        <v>2024.0</v>
      </c>
      <c r="B73" s="3" t="s">
        <v>18</v>
      </c>
      <c r="C73" s="3" t="s">
        <v>13</v>
      </c>
      <c r="D73" s="3" t="s">
        <v>153</v>
      </c>
      <c r="E73" s="2">
        <v>2.010951E7</v>
      </c>
      <c r="F73" s="3" t="s">
        <v>116</v>
      </c>
      <c r="G73" s="2">
        <v>203.0</v>
      </c>
      <c r="H73" s="4">
        <f>IFERROR(__xludf.DUMMYFUNCTION("SPLIT(GETLATLONG(F73 &amp; "", "" &amp; B73), ""|"")"),-6.1266261)</f>
        <v>-6.1266261</v>
      </c>
      <c r="I73" s="5">
        <f>IFERROR(__xludf.DUMMYFUNCTION("""COMPUTED_VALUE"""),106.7655833)</f>
        <v>106.7655833</v>
      </c>
    </row>
    <row r="74">
      <c r="A74" s="2">
        <v>2024.0</v>
      </c>
      <c r="B74" s="3" t="s">
        <v>35</v>
      </c>
      <c r="C74" s="3" t="s">
        <v>13</v>
      </c>
      <c r="D74" s="3" t="s">
        <v>154</v>
      </c>
      <c r="E74" s="2">
        <v>2.0109511E7</v>
      </c>
      <c r="F74" s="3" t="s">
        <v>155</v>
      </c>
      <c r="G74" s="2">
        <v>245.0</v>
      </c>
      <c r="H74" s="4">
        <f>IFERROR(__xludf.DUMMYFUNCTION("SPLIT(GETLATLONG(F74 &amp; "", "" &amp; B74), ""|"")"),-6.1453715)</f>
        <v>-6.1453715</v>
      </c>
      <c r="I74" s="5">
        <f>IFERROR(__xludf.DUMMYFUNCTION("""COMPUTED_VALUE"""),106.7007214)</f>
        <v>106.7007214</v>
      </c>
    </row>
    <row r="75">
      <c r="A75" s="2">
        <v>2024.0</v>
      </c>
      <c r="B75" s="3" t="s">
        <v>23</v>
      </c>
      <c r="C75" s="3" t="s">
        <v>10</v>
      </c>
      <c r="D75" s="3" t="s">
        <v>156</v>
      </c>
      <c r="E75" s="2">
        <v>2.0109513E7</v>
      </c>
      <c r="F75" s="3" t="s">
        <v>77</v>
      </c>
      <c r="G75" s="2">
        <v>275.0</v>
      </c>
      <c r="H75" s="4">
        <f>IFERROR(__xludf.DUMMYFUNCTION("SPLIT(GETLATLONG(F75 &amp; "", "" &amp; B75), ""|"")"),-6.3042253)</f>
        <v>-6.3042253</v>
      </c>
      <c r="I75" s="5">
        <f>IFERROR(__xludf.DUMMYFUNCTION("""COMPUTED_VALUE"""),106.8448858)</f>
        <v>106.8448858</v>
      </c>
    </row>
    <row r="76">
      <c r="A76" s="2">
        <v>2024.0</v>
      </c>
      <c r="B76" s="3" t="s">
        <v>18</v>
      </c>
      <c r="C76" s="3" t="s">
        <v>13</v>
      </c>
      <c r="D76" s="3" t="s">
        <v>157</v>
      </c>
      <c r="E76" s="2">
        <v>2.0109517E7</v>
      </c>
      <c r="F76" s="3" t="s">
        <v>158</v>
      </c>
      <c r="G76" s="2">
        <v>74.0</v>
      </c>
      <c r="H76" s="4">
        <f>IFERROR(__xludf.DUMMYFUNCTION("SPLIT(GETLATLONG(F76 &amp; "", "" &amp; B76), ""|"")"),-6.1298439)</f>
        <v>-6.1298439</v>
      </c>
      <c r="I76" s="5">
        <f>IFERROR(__xludf.DUMMYFUNCTION("""COMPUTED_VALUE"""),106.8608034)</f>
        <v>106.8608034</v>
      </c>
    </row>
    <row r="77">
      <c r="A77" s="2">
        <v>2024.0</v>
      </c>
      <c r="B77" s="3" t="s">
        <v>18</v>
      </c>
      <c r="C77" s="3" t="s">
        <v>10</v>
      </c>
      <c r="D77" s="3" t="s">
        <v>159</v>
      </c>
      <c r="E77" s="2">
        <v>2.010956E7</v>
      </c>
      <c r="F77" s="3" t="s">
        <v>160</v>
      </c>
      <c r="G77" s="2">
        <v>218.0</v>
      </c>
      <c r="H77" s="4">
        <f>IFERROR(__xludf.DUMMYFUNCTION("SPLIT(GETLATLONG(F77 &amp; "", "" &amp; B77), ""|"")"),-6.1719352)</f>
        <v>-6.1719352</v>
      </c>
      <c r="I77" s="5">
        <f>IFERROR(__xludf.DUMMYFUNCTION("""COMPUTED_VALUE"""),106.956742)</f>
        <v>106.956742</v>
      </c>
    </row>
    <row r="78">
      <c r="A78" s="2">
        <v>2024.0</v>
      </c>
      <c r="B78" s="3" t="s">
        <v>18</v>
      </c>
      <c r="C78" s="3" t="s">
        <v>10</v>
      </c>
      <c r="D78" s="3" t="s">
        <v>161</v>
      </c>
      <c r="E78" s="2">
        <v>2.0109561E7</v>
      </c>
      <c r="F78" s="3" t="s">
        <v>162</v>
      </c>
      <c r="G78" s="2">
        <v>137.0</v>
      </c>
      <c r="H78" s="4">
        <f>IFERROR(__xludf.DUMMYFUNCTION("SPLIT(GETLATLONG(F78 &amp; "", "" &amp; B78), ""|"")"),-6.1480576)</f>
        <v>-6.1480576</v>
      </c>
      <c r="I78" s="5">
        <f>IFERROR(__xludf.DUMMYFUNCTION("""COMPUTED_VALUE"""),106.8997565)</f>
        <v>106.8997565</v>
      </c>
    </row>
    <row r="79">
      <c r="A79" s="2">
        <v>2024.0</v>
      </c>
      <c r="B79" s="3" t="s">
        <v>23</v>
      </c>
      <c r="C79" s="3" t="s">
        <v>24</v>
      </c>
      <c r="D79" s="3" t="s">
        <v>163</v>
      </c>
      <c r="E79" s="2">
        <v>2.0109562E7</v>
      </c>
      <c r="F79" s="3" t="s">
        <v>164</v>
      </c>
      <c r="G79" s="2">
        <v>236.0</v>
      </c>
      <c r="H79" s="4">
        <f>IFERROR(__xludf.DUMMYFUNCTION("SPLIT(GETLATLONG(F79 &amp; "", "" &amp; B79), ""|"")"),-6.2505639)</f>
        <v>-6.2505639</v>
      </c>
      <c r="I79" s="5">
        <f>IFERROR(__xludf.DUMMYFUNCTION("""COMPUTED_VALUE"""),106.7815502)</f>
        <v>106.7815502</v>
      </c>
    </row>
    <row r="80">
      <c r="A80" s="2">
        <v>2024.0</v>
      </c>
      <c r="B80" s="3" t="s">
        <v>18</v>
      </c>
      <c r="C80" s="3" t="s">
        <v>10</v>
      </c>
      <c r="D80" s="3" t="s">
        <v>165</v>
      </c>
      <c r="E80" s="2">
        <v>6.9856892E7</v>
      </c>
      <c r="F80" s="3" t="s">
        <v>166</v>
      </c>
      <c r="G80" s="2">
        <v>39.0</v>
      </c>
      <c r="H80" s="4">
        <f>IFERROR(__xludf.DUMMYFUNCTION("SPLIT(GETLATLONG(F80 &amp; "", "" &amp; B80), ""|"")"),-6.1633714)</f>
        <v>-6.1633714</v>
      </c>
      <c r="I80" s="5">
        <f>IFERROR(__xludf.DUMMYFUNCTION("""COMPUTED_VALUE"""),106.8920789)</f>
        <v>106.8920789</v>
      </c>
    </row>
    <row r="81">
      <c r="A81" s="2">
        <v>2024.0</v>
      </c>
      <c r="B81" s="3" t="s">
        <v>18</v>
      </c>
      <c r="C81" s="3" t="s">
        <v>167</v>
      </c>
      <c r="D81" s="3" t="s">
        <v>168</v>
      </c>
      <c r="E81" s="2">
        <v>6.9857071E7</v>
      </c>
      <c r="F81" s="3" t="s">
        <v>169</v>
      </c>
      <c r="G81" s="2">
        <v>24.0</v>
      </c>
      <c r="H81" s="4">
        <f>IFERROR(__xludf.DUMMYFUNCTION("SPLIT(GETLATLONG(F81 &amp; "", "" &amp; B81), ""|"")"),-6.1494909)</f>
        <v>-6.1494909</v>
      </c>
      <c r="I81" s="5">
        <f>IFERROR(__xludf.DUMMYFUNCTION("""COMPUTED_VALUE"""),106.8978652)</f>
        <v>106.8978652</v>
      </c>
    </row>
    <row r="82">
      <c r="A82" s="2">
        <v>2024.0</v>
      </c>
      <c r="B82" s="3" t="s">
        <v>23</v>
      </c>
      <c r="C82" s="3" t="s">
        <v>24</v>
      </c>
      <c r="D82" s="3" t="s">
        <v>170</v>
      </c>
      <c r="E82" s="2">
        <v>6.9874085E7</v>
      </c>
      <c r="F82" s="3" t="s">
        <v>171</v>
      </c>
      <c r="G82" s="2">
        <v>98.0</v>
      </c>
      <c r="H82" s="4">
        <f>IFERROR(__xludf.DUMMYFUNCTION("SPLIT(GETLATLONG(F82 &amp; "", "" &amp; B82), ""|"")"),-6.2622786)</f>
        <v>-6.2622786</v>
      </c>
      <c r="I82" s="5">
        <f>IFERROR(__xludf.DUMMYFUNCTION("""COMPUTED_VALUE"""),106.8085276)</f>
        <v>106.8085276</v>
      </c>
    </row>
    <row r="83">
      <c r="A83" s="2">
        <v>2024.0</v>
      </c>
      <c r="B83" s="3" t="s">
        <v>23</v>
      </c>
      <c r="C83" s="3" t="s">
        <v>10</v>
      </c>
      <c r="D83" s="3" t="s">
        <v>172</v>
      </c>
      <c r="E83" s="2">
        <v>6.9874086E7</v>
      </c>
      <c r="F83" s="3" t="s">
        <v>173</v>
      </c>
      <c r="G83" s="2">
        <v>59.0</v>
      </c>
      <c r="H83" s="4">
        <f>IFERROR(__xludf.DUMMYFUNCTION("SPLIT(GETLATLONG(F83 &amp; "", "" &amp; B83), ""|"")"),-6.2622786)</f>
        <v>-6.2622786</v>
      </c>
      <c r="I83" s="5">
        <f>IFERROR(__xludf.DUMMYFUNCTION("""COMPUTED_VALUE"""),106.8085276)</f>
        <v>106.8085276</v>
      </c>
    </row>
    <row r="84">
      <c r="A84" s="2">
        <v>2024.0</v>
      </c>
      <c r="B84" s="3" t="s">
        <v>23</v>
      </c>
      <c r="C84" s="3" t="s">
        <v>167</v>
      </c>
      <c r="D84" s="3" t="s">
        <v>174</v>
      </c>
      <c r="E84" s="2">
        <v>6.9878042E7</v>
      </c>
      <c r="F84" s="3" t="s">
        <v>175</v>
      </c>
      <c r="G84" s="2">
        <v>64.0</v>
      </c>
      <c r="H84" s="4">
        <f>IFERROR(__xludf.DUMMYFUNCTION("SPLIT(GETLATLONG(F84 &amp; "", "" &amp; B84), ""|"")"),-6.1806779)</f>
        <v>-6.1806779</v>
      </c>
      <c r="I84" s="5">
        <f>IFERROR(__xludf.DUMMYFUNCTION("""COMPUTED_VALUE"""),106.8411379)</f>
        <v>106.8411379</v>
      </c>
    </row>
    <row r="85">
      <c r="A85" s="2">
        <v>2024.0</v>
      </c>
      <c r="B85" s="3" t="s">
        <v>23</v>
      </c>
      <c r="C85" s="3" t="s">
        <v>24</v>
      </c>
      <c r="D85" s="3" t="s">
        <v>176</v>
      </c>
      <c r="E85" s="2">
        <v>6.9878185E7</v>
      </c>
      <c r="F85" s="3" t="s">
        <v>177</v>
      </c>
      <c r="G85" s="2">
        <v>61.0</v>
      </c>
      <c r="H85" s="4">
        <f>IFERROR(__xludf.DUMMYFUNCTION("SPLIT(GETLATLONG(F85 &amp; "", "" &amp; B85), ""|"")"),-6.2370845)</f>
        <v>-6.2370845</v>
      </c>
      <c r="I85" s="5">
        <f>IFERROR(__xludf.DUMMYFUNCTION("""COMPUTED_VALUE"""),106.8237261)</f>
        <v>106.8237261</v>
      </c>
    </row>
    <row r="86">
      <c r="A86" s="2">
        <v>2024.0</v>
      </c>
      <c r="B86" s="3" t="s">
        <v>18</v>
      </c>
      <c r="C86" s="3" t="s">
        <v>24</v>
      </c>
      <c r="D86" s="3" t="s">
        <v>178</v>
      </c>
      <c r="E86" s="2">
        <v>6.9879019E7</v>
      </c>
      <c r="F86" s="3" t="s">
        <v>179</v>
      </c>
      <c r="G86" s="2">
        <v>80.0</v>
      </c>
      <c r="H86" s="4">
        <f>IFERROR(__xludf.DUMMYFUNCTION("SPLIT(GETLATLONG(F86 &amp; "", "" &amp; B86), ""|"")"),-6.1650696)</f>
        <v>-6.1650696</v>
      </c>
      <c r="I86" s="5">
        <f>IFERROR(__xludf.DUMMYFUNCTION("""COMPUTED_VALUE"""),106.9148607)</f>
        <v>106.9148607</v>
      </c>
    </row>
    <row r="87">
      <c r="A87" s="2">
        <v>2024.0</v>
      </c>
      <c r="B87" s="3" t="s">
        <v>18</v>
      </c>
      <c r="C87" s="3" t="s">
        <v>13</v>
      </c>
      <c r="D87" s="3" t="s">
        <v>180</v>
      </c>
      <c r="E87" s="2">
        <v>6.987902E7</v>
      </c>
      <c r="F87" s="3" t="s">
        <v>181</v>
      </c>
      <c r="G87" s="2">
        <v>51.0</v>
      </c>
      <c r="H87" s="4">
        <f>IFERROR(__xludf.DUMMYFUNCTION("SPLIT(GETLATLONG(F87 &amp; "", "" &amp; B87), ""|"")"),-6.1650696)</f>
        <v>-6.1650696</v>
      </c>
      <c r="I87" s="5">
        <f>IFERROR(__xludf.DUMMYFUNCTION("""COMPUTED_VALUE"""),106.9148607)</f>
        <v>106.9148607</v>
      </c>
    </row>
    <row r="88">
      <c r="A88" s="2">
        <v>2024.0</v>
      </c>
      <c r="B88" s="3" t="s">
        <v>18</v>
      </c>
      <c r="C88" s="3" t="s">
        <v>10</v>
      </c>
      <c r="D88" s="3" t="s">
        <v>182</v>
      </c>
      <c r="E88" s="2">
        <v>6.9879021E7</v>
      </c>
      <c r="F88" s="3" t="s">
        <v>183</v>
      </c>
      <c r="G88" s="2">
        <v>19.0</v>
      </c>
      <c r="H88" s="4">
        <f>IFERROR(__xludf.DUMMYFUNCTION("SPLIT(GETLATLONG(F88 &amp; "", "" &amp; B88), ""|"")"),-6.1650696)</f>
        <v>-6.1650696</v>
      </c>
      <c r="I88" s="5">
        <f>IFERROR(__xludf.DUMMYFUNCTION("""COMPUTED_VALUE"""),106.9148607)</f>
        <v>106.9148607</v>
      </c>
    </row>
    <row r="89">
      <c r="A89" s="2">
        <v>2024.0</v>
      </c>
      <c r="B89" s="3" t="s">
        <v>18</v>
      </c>
      <c r="C89" s="3" t="s">
        <v>167</v>
      </c>
      <c r="D89" s="3" t="s">
        <v>184</v>
      </c>
      <c r="E89" s="2">
        <v>6.988011E7</v>
      </c>
      <c r="F89" s="3" t="s">
        <v>185</v>
      </c>
      <c r="G89" s="2">
        <v>193.0</v>
      </c>
      <c r="H89" s="4">
        <f>IFERROR(__xludf.DUMMYFUNCTION("SPLIT(GETLATLONG(F89 &amp; "", "" &amp; B89), ""|"")"),-6.120888)</f>
        <v>-6.120888</v>
      </c>
      <c r="I89" s="5">
        <f>IFERROR(__xludf.DUMMYFUNCTION("""COMPUTED_VALUE"""),106.7592635)</f>
        <v>106.7592635</v>
      </c>
    </row>
    <row r="90">
      <c r="A90" s="2">
        <v>2024.0</v>
      </c>
      <c r="B90" s="3" t="s">
        <v>23</v>
      </c>
      <c r="C90" s="3" t="s">
        <v>167</v>
      </c>
      <c r="D90" s="3" t="s">
        <v>186</v>
      </c>
      <c r="E90" s="2">
        <v>6.9882776E7</v>
      </c>
      <c r="F90" s="3" t="s">
        <v>187</v>
      </c>
      <c r="G90" s="2">
        <v>7.0</v>
      </c>
      <c r="H90" s="4">
        <f>IFERROR(__xludf.DUMMYFUNCTION("SPLIT(GETLATLONG(F90 &amp; "", "" &amp; B90), ""|"")"),-6.2761938)</f>
        <v>-6.2761938</v>
      </c>
      <c r="I90" s="5">
        <f>IFERROR(__xludf.DUMMYFUNCTION("""COMPUTED_VALUE"""),106.8083653)</f>
        <v>106.8083653</v>
      </c>
    </row>
    <row r="91">
      <c r="A91" s="2">
        <v>2024.0</v>
      </c>
      <c r="B91" s="3" t="s">
        <v>23</v>
      </c>
      <c r="C91" s="3" t="s">
        <v>24</v>
      </c>
      <c r="D91" s="3" t="s">
        <v>188</v>
      </c>
      <c r="E91" s="2">
        <v>6.9883248E7</v>
      </c>
      <c r="F91" s="3" t="s">
        <v>189</v>
      </c>
      <c r="G91" s="2">
        <v>252.0</v>
      </c>
      <c r="H91" s="4">
        <f>IFERROR(__xludf.DUMMYFUNCTION("SPLIT(GETLATLONG(F91 &amp; "", "" &amp; B91), ""|"")"),-6.2799586)</f>
        <v>-6.2799586</v>
      </c>
      <c r="I91" s="5">
        <f>IFERROR(__xludf.DUMMYFUNCTION("""COMPUTED_VALUE"""),106.7787114)</f>
        <v>106.7787114</v>
      </c>
    </row>
    <row r="92">
      <c r="A92" s="2">
        <v>2024.0</v>
      </c>
      <c r="B92" s="3" t="s">
        <v>23</v>
      </c>
      <c r="C92" s="3" t="s">
        <v>13</v>
      </c>
      <c r="D92" s="3" t="s">
        <v>190</v>
      </c>
      <c r="E92" s="2">
        <v>6.9883249E7</v>
      </c>
      <c r="F92" s="3" t="s">
        <v>189</v>
      </c>
      <c r="G92" s="2">
        <v>124.0</v>
      </c>
      <c r="H92" s="4">
        <f>IFERROR(__xludf.DUMMYFUNCTION("SPLIT(GETLATLONG(F92 &amp; "", "" &amp; B92), ""|"")"),-6.2799586)</f>
        <v>-6.2799586</v>
      </c>
      <c r="I92" s="5">
        <f>IFERROR(__xludf.DUMMYFUNCTION("""COMPUTED_VALUE"""),106.7787114)</f>
        <v>106.7787114</v>
      </c>
    </row>
    <row r="93">
      <c r="A93" s="2">
        <v>2024.0</v>
      </c>
      <c r="B93" s="3" t="s">
        <v>18</v>
      </c>
      <c r="C93" s="3" t="s">
        <v>24</v>
      </c>
      <c r="D93" s="3" t="s">
        <v>191</v>
      </c>
      <c r="E93" s="2">
        <v>6.9883487E7</v>
      </c>
      <c r="F93" s="3" t="s">
        <v>192</v>
      </c>
      <c r="G93" s="2">
        <v>290.0</v>
      </c>
      <c r="H93" s="4">
        <f>IFERROR(__xludf.DUMMYFUNCTION("SPLIT(GETLATLONG(F93 &amp; "", "" &amp; B93), ""|"")"),-6.1482038)</f>
        <v>-6.1482038</v>
      </c>
      <c r="I93" s="5">
        <f>IFERROR(__xludf.DUMMYFUNCTION("""COMPUTED_VALUE"""),106.9100958)</f>
        <v>106.9100958</v>
      </c>
    </row>
    <row r="94">
      <c r="A94" s="2">
        <v>2024.0</v>
      </c>
      <c r="B94" s="3" t="s">
        <v>18</v>
      </c>
      <c r="C94" s="3" t="s">
        <v>13</v>
      </c>
      <c r="D94" s="3" t="s">
        <v>193</v>
      </c>
      <c r="E94" s="2">
        <v>6.9883488E7</v>
      </c>
      <c r="F94" s="3" t="s">
        <v>192</v>
      </c>
      <c r="G94" s="2">
        <v>59.0</v>
      </c>
      <c r="H94" s="4">
        <f>IFERROR(__xludf.DUMMYFUNCTION("SPLIT(GETLATLONG(F94 &amp; "", "" &amp; B94), ""|"")"),-6.1482038)</f>
        <v>-6.1482038</v>
      </c>
      <c r="I94" s="5">
        <f>IFERROR(__xludf.DUMMYFUNCTION("""COMPUTED_VALUE"""),106.9100958)</f>
        <v>106.9100958</v>
      </c>
    </row>
    <row r="95">
      <c r="A95" s="2">
        <v>2024.0</v>
      </c>
      <c r="B95" s="3" t="s">
        <v>23</v>
      </c>
      <c r="C95" s="3" t="s">
        <v>24</v>
      </c>
      <c r="D95" s="3" t="s">
        <v>194</v>
      </c>
      <c r="E95" s="2">
        <v>6.9883494E7</v>
      </c>
      <c r="F95" s="3" t="s">
        <v>195</v>
      </c>
      <c r="G95" s="2">
        <v>546.0</v>
      </c>
      <c r="H95" s="4">
        <f>IFERROR(__xludf.DUMMYFUNCTION("SPLIT(GETLATLONG(F95 &amp; "", "" &amp; B95), ""|"")"),-6.2883946)</f>
        <v>-6.2883946</v>
      </c>
      <c r="I95" s="5">
        <f>IFERROR(__xludf.DUMMYFUNCTION("""COMPUTED_VALUE"""),106.7835552)</f>
        <v>106.7835552</v>
      </c>
    </row>
    <row r="96">
      <c r="A96" s="2">
        <v>2024.0</v>
      </c>
      <c r="B96" s="3" t="s">
        <v>23</v>
      </c>
      <c r="C96" s="3" t="s">
        <v>13</v>
      </c>
      <c r="D96" s="3" t="s">
        <v>196</v>
      </c>
      <c r="E96" s="2">
        <v>6.9883495E7</v>
      </c>
      <c r="F96" s="3" t="s">
        <v>197</v>
      </c>
      <c r="G96" s="2">
        <v>51.0</v>
      </c>
      <c r="H96" s="4">
        <f>IFERROR(__xludf.DUMMYFUNCTION("SPLIT(GETLATLONG(F96 &amp; "", "" &amp; B96), ""|"")"),-6.27829039999999)</f>
        <v>-6.2782904</v>
      </c>
      <c r="I96" s="5">
        <f>IFERROR(__xludf.DUMMYFUNCTION("""COMPUTED_VALUE"""),106.8285085)</f>
        <v>106.8285085</v>
      </c>
    </row>
    <row r="97">
      <c r="A97" s="2">
        <v>2024.0</v>
      </c>
      <c r="B97" s="3" t="s">
        <v>23</v>
      </c>
      <c r="C97" s="3" t="s">
        <v>24</v>
      </c>
      <c r="D97" s="3" t="s">
        <v>198</v>
      </c>
      <c r="E97" s="2">
        <v>6.9883513E7</v>
      </c>
      <c r="F97" s="3" t="s">
        <v>199</v>
      </c>
      <c r="G97" s="2">
        <v>263.0</v>
      </c>
      <c r="H97" s="4">
        <f>IFERROR(__xludf.DUMMYFUNCTION("SPLIT(GETLATLONG(F97 &amp; "", "" &amp; B97), ""|"")"),-6.24840479999999)</f>
        <v>-6.2484048</v>
      </c>
      <c r="I97" s="5">
        <f>IFERROR(__xludf.DUMMYFUNCTION("""COMPUTED_VALUE"""),106.7476512)</f>
        <v>106.7476512</v>
      </c>
    </row>
    <row r="98">
      <c r="A98" s="2">
        <v>2024.0</v>
      </c>
      <c r="B98" s="3" t="s">
        <v>35</v>
      </c>
      <c r="C98" s="3" t="s">
        <v>10</v>
      </c>
      <c r="D98" s="3" t="s">
        <v>200</v>
      </c>
      <c r="E98" s="2">
        <v>6.9883577E7</v>
      </c>
      <c r="F98" s="3" t="s">
        <v>201</v>
      </c>
      <c r="G98" s="2">
        <v>97.0</v>
      </c>
      <c r="H98" s="4">
        <f>IFERROR(__xludf.DUMMYFUNCTION("SPLIT(GETLATLONG(F98 &amp; "", "" &amp; B98), ""|"")"),-6.2174649)</f>
        <v>-6.2174649</v>
      </c>
      <c r="I98" s="5">
        <f>IFERROR(__xludf.DUMMYFUNCTION("""COMPUTED_VALUE"""),106.7677658)</f>
        <v>106.7677658</v>
      </c>
    </row>
    <row r="99">
      <c r="A99" s="2">
        <v>2024.0</v>
      </c>
      <c r="B99" s="3" t="s">
        <v>18</v>
      </c>
      <c r="C99" s="3" t="s">
        <v>24</v>
      </c>
      <c r="D99" s="3" t="s">
        <v>202</v>
      </c>
      <c r="E99" s="2">
        <v>6.9888567E7</v>
      </c>
      <c r="F99" s="3" t="s">
        <v>203</v>
      </c>
      <c r="G99" s="2">
        <v>217.0</v>
      </c>
      <c r="H99" s="4">
        <f>IFERROR(__xludf.DUMMYFUNCTION("SPLIT(GETLATLONG(F99 &amp; "", "" &amp; B99), ""|"")"),-6.151754)</f>
        <v>-6.151754</v>
      </c>
      <c r="I99" s="5">
        <f>IFERROR(__xludf.DUMMYFUNCTION("""COMPUTED_VALUE"""),106.9168836)</f>
        <v>106.9168836</v>
      </c>
    </row>
    <row r="100">
      <c r="A100" s="2">
        <v>2024.0</v>
      </c>
      <c r="B100" s="3" t="s">
        <v>18</v>
      </c>
      <c r="C100" s="3" t="s">
        <v>13</v>
      </c>
      <c r="D100" s="3" t="s">
        <v>204</v>
      </c>
      <c r="E100" s="2">
        <v>6.9888568E7</v>
      </c>
      <c r="F100" s="3" t="s">
        <v>205</v>
      </c>
      <c r="G100" s="2">
        <v>82.0</v>
      </c>
      <c r="H100" s="4">
        <f>IFERROR(__xludf.DUMMYFUNCTION("SPLIT(GETLATLONG(F100 &amp; "", "" &amp; B100), ""|"")"),-6.151754)</f>
        <v>-6.151754</v>
      </c>
      <c r="I100" s="5">
        <f>IFERROR(__xludf.DUMMYFUNCTION("""COMPUTED_VALUE"""),106.9168836)</f>
        <v>106.9168836</v>
      </c>
    </row>
    <row r="101">
      <c r="A101" s="2">
        <v>2024.0</v>
      </c>
      <c r="B101" s="3" t="s">
        <v>18</v>
      </c>
      <c r="C101" s="3" t="s">
        <v>24</v>
      </c>
      <c r="D101" s="3" t="s">
        <v>206</v>
      </c>
      <c r="E101" s="2">
        <v>6.9888988E7</v>
      </c>
      <c r="F101" s="3" t="s">
        <v>207</v>
      </c>
      <c r="G101" s="2">
        <v>391.0</v>
      </c>
      <c r="H101" s="4">
        <f>IFERROR(__xludf.DUMMYFUNCTION("SPLIT(GETLATLONG(F101 &amp; "", "" &amp; B101), ""|"")"),-6.1313815)</f>
        <v>-6.1313815</v>
      </c>
      <c r="I101" s="5">
        <f>IFERROR(__xludf.DUMMYFUNCTION("""COMPUTED_VALUE"""),106.8210871)</f>
        <v>106.8210871</v>
      </c>
    </row>
    <row r="102">
      <c r="A102" s="2">
        <v>2024.0</v>
      </c>
      <c r="B102" s="3" t="s">
        <v>18</v>
      </c>
      <c r="C102" s="3" t="s">
        <v>13</v>
      </c>
      <c r="D102" s="3" t="s">
        <v>208</v>
      </c>
      <c r="E102" s="2">
        <v>6.9888989E7</v>
      </c>
      <c r="F102" s="3" t="s">
        <v>207</v>
      </c>
      <c r="G102" s="2">
        <v>243.0</v>
      </c>
      <c r="H102" s="4">
        <f>IFERROR(__xludf.DUMMYFUNCTION("SPLIT(GETLATLONG(F102 &amp; "", "" &amp; B102), ""|"")"),-6.1313815)</f>
        <v>-6.1313815</v>
      </c>
      <c r="I102" s="5">
        <f>IFERROR(__xludf.DUMMYFUNCTION("""COMPUTED_VALUE"""),106.8210871)</f>
        <v>106.8210871</v>
      </c>
    </row>
    <row r="103">
      <c r="A103" s="2">
        <v>2024.0</v>
      </c>
      <c r="B103" s="3" t="s">
        <v>18</v>
      </c>
      <c r="C103" s="3" t="s">
        <v>10</v>
      </c>
      <c r="D103" s="3" t="s">
        <v>209</v>
      </c>
      <c r="E103" s="2">
        <v>6.9888992E7</v>
      </c>
      <c r="F103" s="3" t="s">
        <v>210</v>
      </c>
      <c r="G103" s="2">
        <v>164.0</v>
      </c>
      <c r="H103" s="4">
        <f>IFERROR(__xludf.DUMMYFUNCTION("SPLIT(GETLATLONG(F103 &amp; "", "" &amp; B103), ""|"")"),-6.1313815)</f>
        <v>-6.1313815</v>
      </c>
      <c r="I103" s="5">
        <f>IFERROR(__xludf.DUMMYFUNCTION("""COMPUTED_VALUE"""),106.8210871)</f>
        <v>106.8210871</v>
      </c>
    </row>
    <row r="104">
      <c r="A104" s="2">
        <v>2024.0</v>
      </c>
      <c r="B104" s="3" t="s">
        <v>23</v>
      </c>
      <c r="C104" s="3" t="s">
        <v>24</v>
      </c>
      <c r="D104" s="3" t="s">
        <v>211</v>
      </c>
      <c r="E104" s="2">
        <v>6.9889001E7</v>
      </c>
      <c r="F104" s="3" t="s">
        <v>212</v>
      </c>
      <c r="G104" s="2">
        <v>55.0</v>
      </c>
      <c r="H104" s="4">
        <f>IFERROR(__xludf.DUMMYFUNCTION("SPLIT(GETLATLONG(F104 &amp; "", "" &amp; B104), ""|"")"),-6.2660296)</f>
        <v>-6.2660296</v>
      </c>
      <c r="I104" s="5">
        <f>IFERROR(__xludf.DUMMYFUNCTION("""COMPUTED_VALUE"""),106.8201541)</f>
        <v>106.8201541</v>
      </c>
    </row>
    <row r="105">
      <c r="A105" s="2">
        <v>2024.0</v>
      </c>
      <c r="B105" s="3" t="s">
        <v>23</v>
      </c>
      <c r="C105" s="3" t="s">
        <v>13</v>
      </c>
      <c r="D105" s="3" t="s">
        <v>213</v>
      </c>
      <c r="E105" s="2">
        <v>6.9889002E7</v>
      </c>
      <c r="F105" s="3" t="s">
        <v>214</v>
      </c>
      <c r="G105" s="2">
        <v>14.0</v>
      </c>
      <c r="H105" s="4">
        <f>IFERROR(__xludf.DUMMYFUNCTION("SPLIT(GETLATLONG(F105 &amp; "", "" &amp; B105), ""|"")"),-6.2660296)</f>
        <v>-6.2660296</v>
      </c>
      <c r="I105" s="5">
        <f>IFERROR(__xludf.DUMMYFUNCTION("""COMPUTED_VALUE"""),106.8201541)</f>
        <v>106.8201541</v>
      </c>
    </row>
    <row r="106">
      <c r="A106" s="2">
        <v>2024.0</v>
      </c>
      <c r="B106" s="3" t="s">
        <v>23</v>
      </c>
      <c r="C106" s="3" t="s">
        <v>24</v>
      </c>
      <c r="D106" s="3" t="s">
        <v>215</v>
      </c>
      <c r="E106" s="2">
        <v>6.9889088E7</v>
      </c>
      <c r="F106" s="3" t="s">
        <v>216</v>
      </c>
      <c r="G106" s="2">
        <v>105.0</v>
      </c>
      <c r="H106" s="4">
        <f>IFERROR(__xludf.DUMMYFUNCTION("SPLIT(GETLATLONG(F106 &amp; "", "" &amp; B106), ""|"")"),-6.27829039999999)</f>
        <v>-6.2782904</v>
      </c>
      <c r="I106" s="5">
        <f>IFERROR(__xludf.DUMMYFUNCTION("""COMPUTED_VALUE"""),106.8285085)</f>
        <v>106.8285085</v>
      </c>
    </row>
    <row r="107">
      <c r="A107" s="2">
        <v>2024.0</v>
      </c>
      <c r="B107" s="3" t="s">
        <v>23</v>
      </c>
      <c r="C107" s="3" t="s">
        <v>10</v>
      </c>
      <c r="D107" s="3" t="s">
        <v>217</v>
      </c>
      <c r="E107" s="2">
        <v>6.9889089E7</v>
      </c>
      <c r="F107" s="3" t="s">
        <v>218</v>
      </c>
      <c r="G107" s="2">
        <v>55.0</v>
      </c>
      <c r="H107" s="4">
        <f>IFERROR(__xludf.DUMMYFUNCTION("SPLIT(GETLATLONG(F107 &amp; "", "" &amp; B107), ""|"")"),-6.27818679999999)</f>
        <v>-6.2781868</v>
      </c>
      <c r="I107" s="5">
        <f>IFERROR(__xludf.DUMMYFUNCTION("""COMPUTED_VALUE"""),106.8275386)</f>
        <v>106.8275386</v>
      </c>
    </row>
    <row r="108">
      <c r="A108" s="2">
        <v>2024.0</v>
      </c>
      <c r="B108" s="3" t="s">
        <v>18</v>
      </c>
      <c r="C108" s="3" t="s">
        <v>24</v>
      </c>
      <c r="D108" s="3" t="s">
        <v>219</v>
      </c>
      <c r="E108" s="2">
        <v>6.9889102E7</v>
      </c>
      <c r="F108" s="3" t="s">
        <v>220</v>
      </c>
      <c r="G108" s="2">
        <v>107.0</v>
      </c>
      <c r="H108" s="4">
        <f>IFERROR(__xludf.DUMMYFUNCTION("SPLIT(GETLATLONG(F108 &amp; "", "" &amp; B108), ""|"")"),-6.1637037)</f>
        <v>-6.1637037</v>
      </c>
      <c r="I108" s="5">
        <f>IFERROR(__xludf.DUMMYFUNCTION("""COMPUTED_VALUE"""),106.8921638)</f>
        <v>106.8921638</v>
      </c>
    </row>
    <row r="109">
      <c r="A109" s="2">
        <v>2024.0</v>
      </c>
      <c r="B109" s="3" t="s">
        <v>18</v>
      </c>
      <c r="C109" s="3" t="s">
        <v>13</v>
      </c>
      <c r="D109" s="3" t="s">
        <v>221</v>
      </c>
      <c r="E109" s="2">
        <v>6.9889103E7</v>
      </c>
      <c r="F109" s="3" t="s">
        <v>220</v>
      </c>
      <c r="G109" s="2">
        <v>110.0</v>
      </c>
      <c r="H109" s="4">
        <f>IFERROR(__xludf.DUMMYFUNCTION("SPLIT(GETLATLONG(F109 &amp; "", "" &amp; B109), ""|"")"),-6.1637037)</f>
        <v>-6.1637037</v>
      </c>
      <c r="I109" s="5">
        <f>IFERROR(__xludf.DUMMYFUNCTION("""COMPUTED_VALUE"""),106.8921638)</f>
        <v>106.8921638</v>
      </c>
    </row>
    <row r="110">
      <c r="A110" s="2">
        <v>2024.0</v>
      </c>
      <c r="B110" s="3" t="s">
        <v>18</v>
      </c>
      <c r="C110" s="3" t="s">
        <v>10</v>
      </c>
      <c r="D110" s="3" t="s">
        <v>222</v>
      </c>
      <c r="E110" s="2">
        <v>6.9889105E7</v>
      </c>
      <c r="F110" s="3" t="s">
        <v>220</v>
      </c>
      <c r="G110" s="2">
        <v>60.0</v>
      </c>
      <c r="H110" s="4">
        <f>IFERROR(__xludf.DUMMYFUNCTION("SPLIT(GETLATLONG(F110 &amp; "", "" &amp; B110), ""|"")"),-6.1637037)</f>
        <v>-6.1637037</v>
      </c>
      <c r="I110" s="5">
        <f>IFERROR(__xludf.DUMMYFUNCTION("""COMPUTED_VALUE"""),106.8921638)</f>
        <v>106.8921638</v>
      </c>
    </row>
    <row r="111">
      <c r="A111" s="2">
        <v>2024.0</v>
      </c>
      <c r="B111" s="3" t="s">
        <v>23</v>
      </c>
      <c r="C111" s="3" t="s">
        <v>13</v>
      </c>
      <c r="D111" s="3" t="s">
        <v>223</v>
      </c>
      <c r="E111" s="2">
        <v>6.9892782E7</v>
      </c>
      <c r="F111" s="3" t="s">
        <v>224</v>
      </c>
      <c r="G111" s="2">
        <v>98.0</v>
      </c>
      <c r="H111" s="4">
        <f>IFERROR(__xludf.DUMMYFUNCTION("SPLIT(GETLATLONG(F111 &amp; "", "" &amp; B111), ""|"")"),-6.2622335)</f>
        <v>-6.2622335</v>
      </c>
      <c r="I111" s="5">
        <f>IFERROR(__xludf.DUMMYFUNCTION("""COMPUTED_VALUE"""),106.8126766)</f>
        <v>106.8126766</v>
      </c>
    </row>
    <row r="112">
      <c r="A112" s="2">
        <v>2024.0</v>
      </c>
      <c r="B112" s="3" t="s">
        <v>23</v>
      </c>
      <c r="C112" s="3" t="s">
        <v>24</v>
      </c>
      <c r="D112" s="3" t="s">
        <v>225</v>
      </c>
      <c r="E112" s="2">
        <v>6.9893047E7</v>
      </c>
      <c r="F112" s="3" t="s">
        <v>226</v>
      </c>
      <c r="G112" s="2">
        <v>34.0</v>
      </c>
      <c r="H112" s="4">
        <f>IFERROR(__xludf.DUMMYFUNCTION("SPLIT(GETLATLONG(F112 &amp; "", "" &amp; B112), ""|"")"),-6.220649)</f>
        <v>-6.220649</v>
      </c>
      <c r="I112" s="5">
        <f>IFERROR(__xludf.DUMMYFUNCTION("""COMPUTED_VALUE"""),106.783063)</f>
        <v>106.783063</v>
      </c>
    </row>
    <row r="113">
      <c r="A113" s="2">
        <v>2024.0</v>
      </c>
      <c r="B113" s="3" t="s">
        <v>23</v>
      </c>
      <c r="C113" s="3" t="s">
        <v>13</v>
      </c>
      <c r="D113" s="3" t="s">
        <v>227</v>
      </c>
      <c r="E113" s="2">
        <v>6.9893048E7</v>
      </c>
      <c r="F113" s="3" t="s">
        <v>226</v>
      </c>
      <c r="G113" s="2">
        <v>10.0</v>
      </c>
      <c r="H113" s="4">
        <f>IFERROR(__xludf.DUMMYFUNCTION("SPLIT(GETLATLONG(F113 &amp; "", "" &amp; B113), ""|"")"),-6.220649)</f>
        <v>-6.220649</v>
      </c>
      <c r="I113" s="5">
        <f>IFERROR(__xludf.DUMMYFUNCTION("""COMPUTED_VALUE"""),106.783063)</f>
        <v>106.783063</v>
      </c>
    </row>
    <row r="114">
      <c r="A114" s="2">
        <v>2024.0</v>
      </c>
      <c r="B114" s="3" t="s">
        <v>23</v>
      </c>
      <c r="C114" s="3" t="s">
        <v>13</v>
      </c>
      <c r="D114" s="3" t="s">
        <v>228</v>
      </c>
      <c r="E114" s="2">
        <v>6.9893109E7</v>
      </c>
      <c r="F114" s="3" t="s">
        <v>229</v>
      </c>
      <c r="G114" s="2">
        <v>11.0</v>
      </c>
      <c r="H114" s="4">
        <f>IFERROR(__xludf.DUMMYFUNCTION("SPLIT(GETLATLONG(F114 &amp; "", "" &amp; B114), ""|"")"),-6.2251563)</f>
        <v>-6.2251563</v>
      </c>
      <c r="I114" s="5">
        <f>IFERROR(__xludf.DUMMYFUNCTION("""COMPUTED_VALUE"""),106.7656785)</f>
        <v>106.7656785</v>
      </c>
    </row>
    <row r="115">
      <c r="A115" s="2">
        <v>2024.0</v>
      </c>
      <c r="B115" s="3" t="s">
        <v>23</v>
      </c>
      <c r="C115" s="3" t="s">
        <v>13</v>
      </c>
      <c r="D115" s="3" t="s">
        <v>230</v>
      </c>
      <c r="E115" s="2">
        <v>6.9895632E7</v>
      </c>
      <c r="F115" s="3" t="s">
        <v>231</v>
      </c>
      <c r="G115" s="2">
        <v>109.0</v>
      </c>
      <c r="H115" s="4">
        <f>IFERROR(__xludf.DUMMYFUNCTION("SPLIT(GETLATLONG(F115 &amp; "", "" &amp; B115), ""|"")"),-6.3004167)</f>
        <v>-6.3004167</v>
      </c>
      <c r="I115" s="5">
        <f>IFERROR(__xludf.DUMMYFUNCTION("""COMPUTED_VALUE"""),106.7844755)</f>
        <v>106.7844755</v>
      </c>
    </row>
    <row r="116">
      <c r="A116" s="2">
        <v>2024.0</v>
      </c>
      <c r="B116" s="3" t="s">
        <v>23</v>
      </c>
      <c r="C116" s="3" t="s">
        <v>24</v>
      </c>
      <c r="D116" s="3" t="s">
        <v>232</v>
      </c>
      <c r="E116" s="2">
        <v>6.9895633E7</v>
      </c>
      <c r="F116" s="3" t="s">
        <v>231</v>
      </c>
      <c r="G116" s="2">
        <v>230.0</v>
      </c>
      <c r="H116" s="4">
        <f>IFERROR(__xludf.DUMMYFUNCTION("SPLIT(GETLATLONG(F116 &amp; "", "" &amp; B116), ""|"")"),-6.3004167)</f>
        <v>-6.3004167</v>
      </c>
      <c r="I116" s="5">
        <f>IFERROR(__xludf.DUMMYFUNCTION("""COMPUTED_VALUE"""),106.7844755)</f>
        <v>106.7844755</v>
      </c>
    </row>
    <row r="117">
      <c r="A117" s="2">
        <v>2024.0</v>
      </c>
      <c r="B117" s="3" t="s">
        <v>23</v>
      </c>
      <c r="C117" s="3" t="s">
        <v>167</v>
      </c>
      <c r="D117" s="3" t="s">
        <v>233</v>
      </c>
      <c r="E117" s="2">
        <v>6.9895634E7</v>
      </c>
      <c r="F117" s="3" t="s">
        <v>231</v>
      </c>
      <c r="G117" s="2">
        <v>64.0</v>
      </c>
      <c r="H117" s="4">
        <f>IFERROR(__xludf.DUMMYFUNCTION("SPLIT(GETLATLONG(F117 &amp; "", "" &amp; B117), ""|"")"),-6.3004167)</f>
        <v>-6.3004167</v>
      </c>
      <c r="I117" s="5">
        <f>IFERROR(__xludf.DUMMYFUNCTION("""COMPUTED_VALUE"""),106.7844755)</f>
        <v>106.7844755</v>
      </c>
    </row>
    <row r="118">
      <c r="A118" s="2">
        <v>2024.0</v>
      </c>
      <c r="B118" s="3" t="s">
        <v>23</v>
      </c>
      <c r="C118" s="3" t="s">
        <v>167</v>
      </c>
      <c r="D118" s="3" t="s">
        <v>234</v>
      </c>
      <c r="E118" s="2">
        <v>6.9896243E7</v>
      </c>
      <c r="F118" s="3" t="s">
        <v>231</v>
      </c>
      <c r="G118" s="2">
        <v>24.0</v>
      </c>
      <c r="H118" s="4">
        <f>IFERROR(__xludf.DUMMYFUNCTION("SPLIT(GETLATLONG(F118 &amp; "", "" &amp; B118), ""|"")"),-6.3004167)</f>
        <v>-6.3004167</v>
      </c>
      <c r="I118" s="5">
        <f>IFERROR(__xludf.DUMMYFUNCTION("""COMPUTED_VALUE"""),106.7844755)</f>
        <v>106.7844755</v>
      </c>
    </row>
    <row r="119">
      <c r="A119" s="2">
        <v>2024.0</v>
      </c>
      <c r="B119" s="3" t="s">
        <v>23</v>
      </c>
      <c r="C119" s="3" t="s">
        <v>10</v>
      </c>
      <c r="D119" s="3" t="s">
        <v>235</v>
      </c>
      <c r="E119" s="2">
        <v>6.9896714E7</v>
      </c>
      <c r="F119" s="3" t="s">
        <v>236</v>
      </c>
      <c r="G119" s="2">
        <v>154.0</v>
      </c>
      <c r="H119" s="4">
        <f>IFERROR(__xludf.DUMMYFUNCTION("SPLIT(GETLATLONG(F119 &amp; "", "" &amp; B119), ""|"")"),-6.3004167)</f>
        <v>-6.3004167</v>
      </c>
      <c r="I119" s="5">
        <f>IFERROR(__xludf.DUMMYFUNCTION("""COMPUTED_VALUE"""),106.7844755)</f>
        <v>106.7844755</v>
      </c>
    </row>
    <row r="120">
      <c r="A120" s="2">
        <v>2024.0</v>
      </c>
      <c r="B120" s="3" t="s">
        <v>23</v>
      </c>
      <c r="C120" s="3" t="s">
        <v>10</v>
      </c>
      <c r="D120" s="3" t="s">
        <v>237</v>
      </c>
      <c r="E120" s="2">
        <v>6.9899284E7</v>
      </c>
      <c r="F120" s="3" t="s">
        <v>238</v>
      </c>
      <c r="G120" s="2">
        <v>11.0</v>
      </c>
      <c r="H120" s="4">
        <f>IFERROR(__xludf.DUMMYFUNCTION("SPLIT(GETLATLONG(F120 &amp; "", "" &amp; B120), ""|"")"),-6.2251563)</f>
        <v>-6.2251563</v>
      </c>
      <c r="I120" s="5">
        <f>IFERROR(__xludf.DUMMYFUNCTION("""COMPUTED_VALUE"""),106.7656785)</f>
        <v>106.7656785</v>
      </c>
    </row>
    <row r="121">
      <c r="A121" s="2">
        <v>2024.0</v>
      </c>
      <c r="B121" s="3" t="s">
        <v>23</v>
      </c>
      <c r="C121" s="3" t="s">
        <v>24</v>
      </c>
      <c r="D121" s="3" t="s">
        <v>239</v>
      </c>
      <c r="E121" s="2">
        <v>6.9899285E7</v>
      </c>
      <c r="F121" s="3" t="s">
        <v>238</v>
      </c>
      <c r="G121" s="2">
        <v>7.0</v>
      </c>
      <c r="H121" s="4">
        <f>IFERROR(__xludf.DUMMYFUNCTION("SPLIT(GETLATLONG(F121 &amp; "", "" &amp; B121), ""|"")"),-6.2251563)</f>
        <v>-6.2251563</v>
      </c>
      <c r="I121" s="5">
        <f>IFERROR(__xludf.DUMMYFUNCTION("""COMPUTED_VALUE"""),106.7656785)</f>
        <v>106.7656785</v>
      </c>
    </row>
    <row r="122">
      <c r="A122" s="2">
        <v>2024.0</v>
      </c>
      <c r="B122" s="3" t="s">
        <v>23</v>
      </c>
      <c r="C122" s="3" t="s">
        <v>167</v>
      </c>
      <c r="D122" s="3" t="s">
        <v>240</v>
      </c>
      <c r="E122" s="2">
        <v>6.9899693E7</v>
      </c>
      <c r="F122" s="3" t="s">
        <v>241</v>
      </c>
      <c r="G122" s="2">
        <v>26.0</v>
      </c>
      <c r="H122" s="4">
        <f>IFERROR(__xludf.DUMMYFUNCTION("SPLIT(GETLATLONG(F122 &amp; "", "" &amp; B122), ""|"")"),-6.32009119999999)</f>
        <v>-6.3200912</v>
      </c>
      <c r="I122" s="5">
        <f>IFERROR(__xludf.DUMMYFUNCTION("""COMPUTED_VALUE"""),106.8142121)</f>
        <v>106.8142121</v>
      </c>
    </row>
    <row r="123">
      <c r="A123" s="2">
        <v>2024.0</v>
      </c>
      <c r="B123" s="3" t="s">
        <v>23</v>
      </c>
      <c r="C123" s="3" t="s">
        <v>167</v>
      </c>
      <c r="D123" s="3" t="s">
        <v>242</v>
      </c>
      <c r="E123" s="2">
        <v>6.9899697E7</v>
      </c>
      <c r="F123" s="3" t="s">
        <v>241</v>
      </c>
      <c r="G123" s="2">
        <v>18.0</v>
      </c>
      <c r="H123" s="4">
        <f>IFERROR(__xludf.DUMMYFUNCTION("SPLIT(GETLATLONG(F123 &amp; "", "" &amp; B123), ""|"")"),-6.32009119999999)</f>
        <v>-6.3200912</v>
      </c>
      <c r="I123" s="5">
        <f>IFERROR(__xludf.DUMMYFUNCTION("""COMPUTED_VALUE"""),106.8142121)</f>
        <v>106.8142121</v>
      </c>
    </row>
    <row r="124">
      <c r="A124" s="2">
        <v>2024.0</v>
      </c>
      <c r="B124" s="3" t="s">
        <v>23</v>
      </c>
      <c r="C124" s="3" t="s">
        <v>167</v>
      </c>
      <c r="D124" s="3" t="s">
        <v>243</v>
      </c>
      <c r="E124" s="2">
        <v>6.9900068E7</v>
      </c>
      <c r="F124" s="3" t="s">
        <v>244</v>
      </c>
      <c r="G124" s="2">
        <v>7.0</v>
      </c>
      <c r="H124" s="4">
        <f>IFERROR(__xludf.DUMMYFUNCTION("SPLIT(GETLATLONG(F124 &amp; "", "" &amp; B124), ""|"")"),-6.27818679999999)</f>
        <v>-6.2781868</v>
      </c>
      <c r="I124" s="5">
        <f>IFERROR(__xludf.DUMMYFUNCTION("""COMPUTED_VALUE"""),106.8275386)</f>
        <v>106.8275386</v>
      </c>
    </row>
    <row r="125">
      <c r="A125" s="2">
        <v>2024.0</v>
      </c>
      <c r="B125" s="3" t="s">
        <v>23</v>
      </c>
      <c r="C125" s="3" t="s">
        <v>10</v>
      </c>
      <c r="D125" s="3" t="s">
        <v>245</v>
      </c>
      <c r="E125" s="2">
        <v>6.990425E7</v>
      </c>
      <c r="F125" s="3" t="s">
        <v>246</v>
      </c>
      <c r="G125" s="2">
        <v>111.0</v>
      </c>
      <c r="H125" s="4">
        <f>IFERROR(__xludf.DUMMYFUNCTION("SPLIT(GETLATLONG(F125 &amp; "", "" &amp; B125), ""|"")"),-6.2799605)</f>
        <v>-6.2799605</v>
      </c>
      <c r="I125" s="5">
        <f>IFERROR(__xludf.DUMMYFUNCTION("""COMPUTED_VALUE"""),106.7785719)</f>
        <v>106.7785719</v>
      </c>
    </row>
    <row r="126">
      <c r="A126" s="2">
        <v>2024.0</v>
      </c>
      <c r="B126" s="3" t="s">
        <v>23</v>
      </c>
      <c r="C126" s="3" t="s">
        <v>167</v>
      </c>
      <c r="D126" s="3" t="s">
        <v>247</v>
      </c>
      <c r="E126" s="2">
        <v>6.9917192E7</v>
      </c>
      <c r="F126" s="3" t="s">
        <v>248</v>
      </c>
      <c r="G126" s="2">
        <v>26.0</v>
      </c>
      <c r="H126" s="4">
        <f>IFERROR(__xludf.DUMMYFUNCTION("SPLIT(GETLATLONG(F126 &amp; "", "" &amp; B126), ""|"")"),-6.2487046)</f>
        <v>-6.2487046</v>
      </c>
      <c r="I126" s="5">
        <f>IFERROR(__xludf.DUMMYFUNCTION("""COMPUTED_VALUE"""),106.8445477)</f>
        <v>106.8445477</v>
      </c>
    </row>
    <row r="127">
      <c r="A127" s="2">
        <v>2024.0</v>
      </c>
      <c r="B127" s="3" t="s">
        <v>23</v>
      </c>
      <c r="C127" s="3" t="s">
        <v>10</v>
      </c>
      <c r="D127" s="3" t="s">
        <v>249</v>
      </c>
      <c r="E127" s="2">
        <v>6.9917278E7</v>
      </c>
      <c r="F127" s="3" t="s">
        <v>250</v>
      </c>
      <c r="G127" s="2">
        <v>273.0</v>
      </c>
      <c r="H127" s="4">
        <f>IFERROR(__xludf.DUMMYFUNCTION("SPLIT(GETLATLONG(F127 &amp; "", "" &amp; B127), ""|"")"),-6.2578755)</f>
        <v>-6.2578755</v>
      </c>
      <c r="I127" s="5">
        <f>IFERROR(__xludf.DUMMYFUNCTION("""COMPUTED_VALUE"""),106.8069836)</f>
        <v>106.8069836</v>
      </c>
    </row>
    <row r="128">
      <c r="A128" s="2">
        <v>2024.0</v>
      </c>
      <c r="B128" s="3" t="s">
        <v>35</v>
      </c>
      <c r="C128" s="3" t="s">
        <v>167</v>
      </c>
      <c r="D128" s="3" t="s">
        <v>251</v>
      </c>
      <c r="E128" s="2">
        <v>6.9917842E7</v>
      </c>
      <c r="F128" s="3" t="s">
        <v>252</v>
      </c>
      <c r="G128" s="2">
        <v>49.0</v>
      </c>
      <c r="H128" s="4">
        <f>IFERROR(__xludf.DUMMYFUNCTION("SPLIT(GETLATLONG(F128 &amp; "", "" &amp; B128), ""|"")"),-6.1890176)</f>
        <v>-6.1890176</v>
      </c>
      <c r="I128" s="5">
        <f>IFERROR(__xludf.DUMMYFUNCTION("""COMPUTED_VALUE"""),106.7819194)</f>
        <v>106.7819194</v>
      </c>
    </row>
    <row r="129">
      <c r="A129" s="2">
        <v>2024.0</v>
      </c>
      <c r="B129" s="3" t="s">
        <v>35</v>
      </c>
      <c r="C129" s="3" t="s">
        <v>13</v>
      </c>
      <c r="D129" s="3" t="s">
        <v>253</v>
      </c>
      <c r="E129" s="2">
        <v>6.9918212E7</v>
      </c>
      <c r="F129" s="3" t="s">
        <v>254</v>
      </c>
      <c r="G129" s="2">
        <v>64.0</v>
      </c>
      <c r="H129" s="4">
        <f>IFERROR(__xludf.DUMMYFUNCTION("SPLIT(GETLATLONG(F129 &amp; "", "" &amp; B129), ""|"")"),-6.1969031)</f>
        <v>-6.1969031</v>
      </c>
      <c r="I129" s="5">
        <f>IFERROR(__xludf.DUMMYFUNCTION("""COMPUTED_VALUE"""),106.7611533)</f>
        <v>106.7611533</v>
      </c>
    </row>
    <row r="130">
      <c r="A130" s="2">
        <v>2024.0</v>
      </c>
      <c r="B130" s="3" t="s">
        <v>23</v>
      </c>
      <c r="C130" s="3" t="s">
        <v>24</v>
      </c>
      <c r="D130" s="3" t="s">
        <v>255</v>
      </c>
      <c r="E130" s="2">
        <v>6.9921544E7</v>
      </c>
      <c r="F130" s="3" t="s">
        <v>256</v>
      </c>
      <c r="G130" s="2">
        <v>68.0</v>
      </c>
      <c r="H130" s="4">
        <f>IFERROR(__xludf.DUMMYFUNCTION("SPLIT(GETLATLONG(F130 &amp; "", "" &amp; B130), ""|"")"),-6.2843329)</f>
        <v>-6.2843329</v>
      </c>
      <c r="I130" s="5">
        <f>IFERROR(__xludf.DUMMYFUNCTION("""COMPUTED_VALUE"""),106.8266014)</f>
        <v>106.8266014</v>
      </c>
    </row>
    <row r="131">
      <c r="A131" s="2">
        <v>2024.0</v>
      </c>
      <c r="B131" s="3" t="s">
        <v>23</v>
      </c>
      <c r="C131" s="3" t="s">
        <v>13</v>
      </c>
      <c r="D131" s="3" t="s">
        <v>257</v>
      </c>
      <c r="E131" s="2">
        <v>6.9921547E7</v>
      </c>
      <c r="F131" s="3" t="s">
        <v>258</v>
      </c>
      <c r="G131" s="2">
        <v>14.0</v>
      </c>
      <c r="H131" s="4">
        <f>IFERROR(__xludf.DUMMYFUNCTION("SPLIT(GETLATLONG(F131 &amp; "", "" &amp; B131), ""|"")"),-6.2828588)</f>
        <v>-6.2828588</v>
      </c>
      <c r="I131" s="5">
        <f>IFERROR(__xludf.DUMMYFUNCTION("""COMPUTED_VALUE"""),106.8270958)</f>
        <v>106.8270958</v>
      </c>
    </row>
    <row r="132">
      <c r="A132" s="2">
        <v>2024.0</v>
      </c>
      <c r="B132" s="3" t="s">
        <v>23</v>
      </c>
      <c r="C132" s="3" t="s">
        <v>10</v>
      </c>
      <c r="D132" s="3" t="s">
        <v>259</v>
      </c>
      <c r="E132" s="2">
        <v>6.9921926E7</v>
      </c>
      <c r="F132" s="3" t="s">
        <v>260</v>
      </c>
      <c r="G132" s="2">
        <v>20.0</v>
      </c>
      <c r="H132" s="4">
        <f>IFERROR(__xludf.DUMMYFUNCTION("SPLIT(GETLATLONG(F132 &amp; "", "" &amp; B132), ""|"")"),-6.2828588)</f>
        <v>-6.2828588</v>
      </c>
      <c r="I132" s="5">
        <f>IFERROR(__xludf.DUMMYFUNCTION("""COMPUTED_VALUE"""),106.8270958)</f>
        <v>106.8270958</v>
      </c>
    </row>
    <row r="133">
      <c r="A133" s="2">
        <v>2024.0</v>
      </c>
      <c r="B133" s="3" t="s">
        <v>35</v>
      </c>
      <c r="C133" s="3" t="s">
        <v>167</v>
      </c>
      <c r="D133" s="3" t="s">
        <v>261</v>
      </c>
      <c r="E133" s="2">
        <v>6.9923299E7</v>
      </c>
      <c r="F133" s="3" t="s">
        <v>262</v>
      </c>
      <c r="G133" s="2">
        <v>30.0</v>
      </c>
      <c r="H133" s="4">
        <f>IFERROR(__xludf.DUMMYFUNCTION("SPLIT(GETLATLONG(F133 &amp; "", "" &amp; B133), ""|"")"),-6.1969031)</f>
        <v>-6.1969031</v>
      </c>
      <c r="I133" s="5">
        <f>IFERROR(__xludf.DUMMYFUNCTION("""COMPUTED_VALUE"""),106.7611533)</f>
        <v>106.7611533</v>
      </c>
    </row>
    <row r="134">
      <c r="A134" s="2">
        <v>2024.0</v>
      </c>
      <c r="B134" s="3" t="s">
        <v>35</v>
      </c>
      <c r="C134" s="3" t="s">
        <v>10</v>
      </c>
      <c r="D134" s="3" t="s">
        <v>263</v>
      </c>
      <c r="E134" s="2">
        <v>6.9923322E7</v>
      </c>
      <c r="F134" s="3" t="s">
        <v>264</v>
      </c>
      <c r="G134" s="2">
        <v>39.0</v>
      </c>
      <c r="H134" s="4">
        <f>IFERROR(__xludf.DUMMYFUNCTION("SPLIT(GETLATLONG(F134 &amp; "", "" &amp; B134), ""|"")"),-6.19212989999999)</f>
        <v>-6.1921299</v>
      </c>
      <c r="I134" s="5">
        <f>IFERROR(__xludf.DUMMYFUNCTION("""COMPUTED_VALUE"""),106.727058)</f>
        <v>106.727058</v>
      </c>
    </row>
    <row r="135">
      <c r="A135" s="2">
        <v>2024.0</v>
      </c>
      <c r="B135" s="3" t="s">
        <v>23</v>
      </c>
      <c r="C135" s="3" t="s">
        <v>10</v>
      </c>
      <c r="D135" s="3" t="s">
        <v>265</v>
      </c>
      <c r="E135" s="2">
        <v>6.9930247E7</v>
      </c>
      <c r="F135" s="3" t="s">
        <v>266</v>
      </c>
      <c r="G135" s="2">
        <v>10.0</v>
      </c>
      <c r="H135" s="4">
        <f>IFERROR(__xludf.DUMMYFUNCTION("SPLIT(GETLATLONG(F135 &amp; "", "" &amp; B135), ""|"")"),-6.259866)</f>
        <v>-6.259866</v>
      </c>
      <c r="I135" s="5">
        <f>IFERROR(__xludf.DUMMYFUNCTION("""COMPUTED_VALUE"""),106.7884778)</f>
        <v>106.7884778</v>
      </c>
    </row>
    <row r="136">
      <c r="A136" s="2">
        <v>2024.0</v>
      </c>
      <c r="B136" s="3" t="s">
        <v>78</v>
      </c>
      <c r="C136" s="3" t="s">
        <v>24</v>
      </c>
      <c r="D136" s="3" t="s">
        <v>267</v>
      </c>
      <c r="E136" s="2">
        <v>6.9934018E7</v>
      </c>
      <c r="F136" s="3" t="s">
        <v>268</v>
      </c>
      <c r="G136" s="2">
        <v>306.0</v>
      </c>
      <c r="H136" s="4">
        <f>IFERROR(__xludf.DUMMYFUNCTION("SPLIT(GETLATLONG(F136 &amp; "", "" &amp; B136), ""|"")"),-6.25243689999999)</f>
        <v>-6.2524369</v>
      </c>
      <c r="I136" s="5">
        <f>IFERROR(__xludf.DUMMYFUNCTION("""COMPUTED_VALUE"""),106.8648901)</f>
        <v>106.8648901</v>
      </c>
    </row>
    <row r="137">
      <c r="A137" s="2">
        <v>2024.0</v>
      </c>
      <c r="B137" s="3" t="s">
        <v>35</v>
      </c>
      <c r="C137" s="3" t="s">
        <v>167</v>
      </c>
      <c r="D137" s="3" t="s">
        <v>269</v>
      </c>
      <c r="E137" s="2">
        <v>6.9934993E7</v>
      </c>
      <c r="F137" s="3" t="s">
        <v>270</v>
      </c>
      <c r="G137" s="2">
        <v>35.0</v>
      </c>
      <c r="H137" s="4">
        <f>IFERROR(__xludf.DUMMYFUNCTION("SPLIT(GETLATLONG(F137 &amp; "", "" &amp; B137), ""|"")"),-6.1694466)</f>
        <v>-6.1694466</v>
      </c>
      <c r="I137" s="5">
        <f>IFERROR(__xludf.DUMMYFUNCTION("""COMPUTED_VALUE"""),106.7640204)</f>
        <v>106.7640204</v>
      </c>
    </row>
    <row r="138">
      <c r="A138" s="2">
        <v>2024.0</v>
      </c>
      <c r="B138" s="3" t="s">
        <v>23</v>
      </c>
      <c r="C138" s="3" t="s">
        <v>10</v>
      </c>
      <c r="D138" s="3" t="s">
        <v>271</v>
      </c>
      <c r="E138" s="2">
        <v>6.9935208E7</v>
      </c>
      <c r="F138" s="3" t="s">
        <v>272</v>
      </c>
      <c r="G138" s="2">
        <v>88.0</v>
      </c>
      <c r="H138" s="4">
        <f>IFERROR(__xludf.DUMMYFUNCTION("SPLIT(GETLATLONG(F138 &amp; "", "" &amp; B138), ""|"")"),-6.3079651)</f>
        <v>-6.3079651</v>
      </c>
      <c r="I138" s="5">
        <f>IFERROR(__xludf.DUMMYFUNCTION("""COMPUTED_VALUE"""),106.8041931)</f>
        <v>106.8041931</v>
      </c>
    </row>
    <row r="139">
      <c r="A139" s="2">
        <v>2024.0</v>
      </c>
      <c r="B139" s="3" t="s">
        <v>18</v>
      </c>
      <c r="C139" s="3" t="s">
        <v>13</v>
      </c>
      <c r="D139" s="3" t="s">
        <v>273</v>
      </c>
      <c r="E139" s="2">
        <v>6.9935772E7</v>
      </c>
      <c r="F139" s="3" t="s">
        <v>274</v>
      </c>
      <c r="G139" s="2">
        <v>660.0</v>
      </c>
      <c r="H139" s="4">
        <f>IFERROR(__xludf.DUMMYFUNCTION("SPLIT(GETLATLONG(F139 &amp; "", "" &amp; B139), ""|"")"),-6.120888)</f>
        <v>-6.120888</v>
      </c>
      <c r="I139" s="5">
        <f>IFERROR(__xludf.DUMMYFUNCTION("""COMPUTED_VALUE"""),106.7592635)</f>
        <v>106.7592635</v>
      </c>
    </row>
    <row r="140">
      <c r="A140" s="2">
        <v>2024.0</v>
      </c>
      <c r="B140" s="3" t="s">
        <v>18</v>
      </c>
      <c r="C140" s="3" t="s">
        <v>24</v>
      </c>
      <c r="D140" s="3" t="s">
        <v>275</v>
      </c>
      <c r="E140" s="2">
        <v>6.9938151E7</v>
      </c>
      <c r="F140" s="3" t="s">
        <v>276</v>
      </c>
      <c r="G140" s="2">
        <v>101.0</v>
      </c>
      <c r="H140" s="4">
        <f>IFERROR(__xludf.DUMMYFUNCTION("SPLIT(GETLATLONG(F140 &amp; "", "" &amp; B140), ""|"")"),-6.1674877)</f>
        <v>-6.1674877</v>
      </c>
      <c r="I140" s="5">
        <f>IFERROR(__xludf.DUMMYFUNCTION("""COMPUTED_VALUE"""),106.8830178)</f>
        <v>106.8830178</v>
      </c>
    </row>
    <row r="141">
      <c r="A141" s="2">
        <v>2024.0</v>
      </c>
      <c r="B141" s="3" t="s">
        <v>18</v>
      </c>
      <c r="C141" s="3" t="s">
        <v>167</v>
      </c>
      <c r="D141" s="3" t="s">
        <v>277</v>
      </c>
      <c r="E141" s="2">
        <v>6.9938152E7</v>
      </c>
      <c r="F141" s="3" t="s">
        <v>276</v>
      </c>
      <c r="G141" s="2">
        <v>14.0</v>
      </c>
      <c r="H141" s="4">
        <f>IFERROR(__xludf.DUMMYFUNCTION("SPLIT(GETLATLONG(F141 &amp; "", "" &amp; B141), ""|"")"),-6.1674877)</f>
        <v>-6.1674877</v>
      </c>
      <c r="I141" s="5">
        <f>IFERROR(__xludf.DUMMYFUNCTION("""COMPUTED_VALUE"""),106.8830178)</f>
        <v>106.8830178</v>
      </c>
    </row>
    <row r="142">
      <c r="A142" s="2">
        <v>2024.0</v>
      </c>
      <c r="B142" s="3" t="s">
        <v>18</v>
      </c>
      <c r="C142" s="3" t="s">
        <v>13</v>
      </c>
      <c r="D142" s="3" t="s">
        <v>278</v>
      </c>
      <c r="E142" s="2">
        <v>6.9939306E7</v>
      </c>
      <c r="F142" s="3" t="s">
        <v>279</v>
      </c>
      <c r="G142" s="2">
        <v>65.0</v>
      </c>
      <c r="H142" s="4">
        <f>IFERROR(__xludf.DUMMYFUNCTION("SPLIT(GETLATLONG(F142 &amp; "", "" &amp; B142), ""|"")"),-6.1778651)</f>
        <v>-6.1778651</v>
      </c>
      <c r="I142" s="5">
        <f>IFERROR(__xludf.DUMMYFUNCTION("""COMPUTED_VALUE"""),106.915472)</f>
        <v>106.915472</v>
      </c>
    </row>
    <row r="143">
      <c r="A143" s="2">
        <v>2024.0</v>
      </c>
      <c r="B143" s="3" t="s">
        <v>18</v>
      </c>
      <c r="C143" s="3" t="s">
        <v>10</v>
      </c>
      <c r="D143" s="3" t="s">
        <v>280</v>
      </c>
      <c r="E143" s="2">
        <v>6.993932E7</v>
      </c>
      <c r="F143" s="3" t="s">
        <v>279</v>
      </c>
      <c r="G143" s="2">
        <v>52.0</v>
      </c>
      <c r="H143" s="4">
        <f>IFERROR(__xludf.DUMMYFUNCTION("SPLIT(GETLATLONG(F143 &amp; "", "" &amp; B143), ""|"")"),-6.1778651)</f>
        <v>-6.1778651</v>
      </c>
      <c r="I143" s="5">
        <f>IFERROR(__xludf.DUMMYFUNCTION("""COMPUTED_VALUE"""),106.915472)</f>
        <v>106.915472</v>
      </c>
    </row>
    <row r="144">
      <c r="A144" s="2">
        <v>2024.0</v>
      </c>
      <c r="B144" s="3" t="s">
        <v>18</v>
      </c>
      <c r="C144" s="3" t="s">
        <v>167</v>
      </c>
      <c r="D144" s="3" t="s">
        <v>281</v>
      </c>
      <c r="E144" s="2">
        <v>6.9942352E7</v>
      </c>
      <c r="F144" s="3" t="s">
        <v>282</v>
      </c>
      <c r="G144" s="2">
        <v>44.0</v>
      </c>
      <c r="H144" s="4">
        <f>IFERROR(__xludf.DUMMYFUNCTION("SPLIT(GETLATLONG(F144 &amp; "", "" &amp; B144), ""|"")"),-6.1298439)</f>
        <v>-6.1298439</v>
      </c>
      <c r="I144" s="5">
        <f>IFERROR(__xludf.DUMMYFUNCTION("""COMPUTED_VALUE"""),106.8608034)</f>
        <v>106.8608034</v>
      </c>
    </row>
    <row r="145">
      <c r="A145" s="2">
        <v>2024.0</v>
      </c>
      <c r="B145" s="3" t="s">
        <v>23</v>
      </c>
      <c r="C145" s="3" t="s">
        <v>167</v>
      </c>
      <c r="D145" s="3" t="s">
        <v>283</v>
      </c>
      <c r="E145" s="2">
        <v>6.9947976E7</v>
      </c>
      <c r="F145" s="3" t="s">
        <v>284</v>
      </c>
      <c r="G145" s="2">
        <v>40.0</v>
      </c>
      <c r="H145" s="4">
        <f>IFERROR(__xludf.DUMMYFUNCTION("SPLIT(GETLATLONG(F145 &amp; "", "" &amp; B145), ""|"")"),-6.2357144)</f>
        <v>-6.2357144</v>
      </c>
      <c r="I145" s="5">
        <f>IFERROR(__xludf.DUMMYFUNCTION("""COMPUTED_VALUE"""),106.7916416)</f>
        <v>106.7916416</v>
      </c>
    </row>
    <row r="146">
      <c r="A146" s="2">
        <v>2024.0</v>
      </c>
      <c r="B146" s="3" t="s">
        <v>18</v>
      </c>
      <c r="C146" s="3" t="s">
        <v>10</v>
      </c>
      <c r="D146" s="3" t="s">
        <v>285</v>
      </c>
      <c r="E146" s="2">
        <v>6.9948873E7</v>
      </c>
      <c r="F146" s="3" t="s">
        <v>286</v>
      </c>
      <c r="G146" s="2">
        <v>50.0</v>
      </c>
      <c r="H146" s="4">
        <f>IFERROR(__xludf.DUMMYFUNCTION("SPLIT(GETLATLONG(F146 &amp; "", "" &amp; B146), ""|"")"),-6.1345066)</f>
        <v>-6.1345066</v>
      </c>
      <c r="I146" s="5">
        <f>IFERROR(__xludf.DUMMYFUNCTION("""COMPUTED_VALUE"""),106.8659966)</f>
        <v>106.8659966</v>
      </c>
    </row>
    <row r="147">
      <c r="A147" s="2">
        <v>2024.0</v>
      </c>
      <c r="B147" s="3" t="s">
        <v>23</v>
      </c>
      <c r="C147" s="3" t="s">
        <v>24</v>
      </c>
      <c r="D147" s="3" t="s">
        <v>287</v>
      </c>
      <c r="E147" s="2">
        <v>6.9949828E7</v>
      </c>
      <c r="F147" s="3" t="s">
        <v>248</v>
      </c>
      <c r="G147" s="2">
        <v>307.0</v>
      </c>
      <c r="H147" s="4">
        <f>IFERROR(__xludf.DUMMYFUNCTION("SPLIT(GETLATLONG(F147 &amp; "", "" &amp; B147), ""|"")"),-6.2487046)</f>
        <v>-6.2487046</v>
      </c>
      <c r="I147" s="5">
        <f>IFERROR(__xludf.DUMMYFUNCTION("""COMPUTED_VALUE"""),106.8445477)</f>
        <v>106.8445477</v>
      </c>
    </row>
    <row r="148">
      <c r="A148" s="2">
        <v>2024.0</v>
      </c>
      <c r="B148" s="3" t="s">
        <v>23</v>
      </c>
      <c r="C148" s="3" t="s">
        <v>13</v>
      </c>
      <c r="D148" s="3" t="s">
        <v>288</v>
      </c>
      <c r="E148" s="2">
        <v>6.9949829E7</v>
      </c>
      <c r="F148" s="3" t="s">
        <v>248</v>
      </c>
      <c r="G148" s="2">
        <v>184.0</v>
      </c>
      <c r="H148" s="4">
        <f>IFERROR(__xludf.DUMMYFUNCTION("SPLIT(GETLATLONG(F148 &amp; "", "" &amp; B148), ""|"")"),-6.2487046)</f>
        <v>-6.2487046</v>
      </c>
      <c r="I148" s="5">
        <f>IFERROR(__xludf.DUMMYFUNCTION("""COMPUTED_VALUE"""),106.8445477)</f>
        <v>106.8445477</v>
      </c>
    </row>
    <row r="149">
      <c r="A149" s="2">
        <v>2024.0</v>
      </c>
      <c r="B149" s="3" t="s">
        <v>23</v>
      </c>
      <c r="C149" s="3" t="s">
        <v>10</v>
      </c>
      <c r="D149" s="3" t="s">
        <v>289</v>
      </c>
      <c r="E149" s="2">
        <v>6.994983E7</v>
      </c>
      <c r="F149" s="3" t="s">
        <v>248</v>
      </c>
      <c r="G149" s="2">
        <v>115.0</v>
      </c>
      <c r="H149" s="4">
        <f>IFERROR(__xludf.DUMMYFUNCTION("SPLIT(GETLATLONG(F149 &amp; "", "" &amp; B149), ""|"")"),-6.2487046)</f>
        <v>-6.2487046</v>
      </c>
      <c r="I149" s="5">
        <f>IFERROR(__xludf.DUMMYFUNCTION("""COMPUTED_VALUE"""),106.8445477)</f>
        <v>106.8445477</v>
      </c>
    </row>
    <row r="150">
      <c r="A150" s="2">
        <v>2024.0</v>
      </c>
      <c r="B150" s="3" t="s">
        <v>35</v>
      </c>
      <c r="C150" s="3" t="s">
        <v>13</v>
      </c>
      <c r="D150" s="3" t="s">
        <v>290</v>
      </c>
      <c r="E150" s="2">
        <v>6.9952552E7</v>
      </c>
      <c r="F150" s="3" t="s">
        <v>291</v>
      </c>
      <c r="G150" s="2">
        <v>107.0</v>
      </c>
      <c r="H150" s="4">
        <f>IFERROR(__xludf.DUMMYFUNCTION("SPLIT(GETLATLONG(F150 &amp; "", "" &amp; B150), ""|"")"),-6.12087069999999)</f>
        <v>-6.1208707</v>
      </c>
      <c r="I150" s="5">
        <f>IFERROR(__xludf.DUMMYFUNCTION("""COMPUTED_VALUE"""),106.7022202)</f>
        <v>106.7022202</v>
      </c>
    </row>
    <row r="151">
      <c r="A151" s="2">
        <v>2024.0</v>
      </c>
      <c r="B151" s="3" t="s">
        <v>18</v>
      </c>
      <c r="C151" s="3" t="s">
        <v>10</v>
      </c>
      <c r="D151" s="3" t="s">
        <v>292</v>
      </c>
      <c r="E151" s="2">
        <v>6.9961163E7</v>
      </c>
      <c r="F151" s="3" t="s">
        <v>293</v>
      </c>
      <c r="G151" s="2">
        <v>463.0</v>
      </c>
      <c r="H151" s="4">
        <f>IFERROR(__xludf.DUMMYFUNCTION("SPLIT(GETLATLONG(F151 &amp; "", "" &amp; B151), ""|"")"),-6.120888)</f>
        <v>-6.120888</v>
      </c>
      <c r="I151" s="5">
        <f>IFERROR(__xludf.DUMMYFUNCTION("""COMPUTED_VALUE"""),106.7592635)</f>
        <v>106.7592635</v>
      </c>
    </row>
    <row r="152">
      <c r="A152" s="2">
        <v>2024.0</v>
      </c>
      <c r="B152" s="3" t="s">
        <v>18</v>
      </c>
      <c r="C152" s="3" t="s">
        <v>24</v>
      </c>
      <c r="D152" s="3" t="s">
        <v>170</v>
      </c>
      <c r="E152" s="2">
        <v>6.9961412E7</v>
      </c>
      <c r="F152" s="3" t="s">
        <v>294</v>
      </c>
      <c r="G152" s="2">
        <v>236.0</v>
      </c>
      <c r="H152" s="4">
        <f>IFERROR(__xludf.DUMMYFUNCTION("SPLIT(GETLATLONG(F152 &amp; "", "" &amp; B152), ""|"")"),-6.1177765)</f>
        <v>-6.1177765</v>
      </c>
      <c r="I152" s="5">
        <f>IFERROR(__xludf.DUMMYFUNCTION("""COMPUTED_VALUE"""),106.7890281)</f>
        <v>106.7890281</v>
      </c>
    </row>
    <row r="153">
      <c r="A153" s="2">
        <v>2024.0</v>
      </c>
      <c r="B153" s="3" t="s">
        <v>18</v>
      </c>
      <c r="C153" s="3" t="s">
        <v>167</v>
      </c>
      <c r="D153" s="3" t="s">
        <v>186</v>
      </c>
      <c r="E153" s="2">
        <v>6.9961413E7</v>
      </c>
      <c r="F153" s="3" t="s">
        <v>295</v>
      </c>
      <c r="G153" s="2">
        <v>52.0</v>
      </c>
      <c r="H153" s="4">
        <f>IFERROR(__xludf.DUMMYFUNCTION("SPLIT(GETLATLONG(F153 &amp; "", "" &amp; B153), ""|"")"),-6.1157122)</f>
        <v>-6.1157122</v>
      </c>
      <c r="I153" s="5">
        <f>IFERROR(__xludf.DUMMYFUNCTION("""COMPUTED_VALUE"""),106.790627)</f>
        <v>106.790627</v>
      </c>
    </row>
    <row r="154">
      <c r="A154" s="2">
        <v>2024.0</v>
      </c>
      <c r="B154" s="3" t="s">
        <v>18</v>
      </c>
      <c r="C154" s="3" t="s">
        <v>167</v>
      </c>
      <c r="D154" s="3" t="s">
        <v>296</v>
      </c>
      <c r="E154" s="2">
        <v>6.9964458E7</v>
      </c>
      <c r="F154" s="3" t="s">
        <v>297</v>
      </c>
      <c r="G154" s="2">
        <v>64.0</v>
      </c>
      <c r="H154" s="4">
        <f>IFERROR(__xludf.DUMMYFUNCTION("SPLIT(GETLATLONG(F154 &amp; "", "" &amp; B154), ""|"")"),-6.1345066)</f>
        <v>-6.1345066</v>
      </c>
      <c r="I154" s="5">
        <f>IFERROR(__xludf.DUMMYFUNCTION("""COMPUTED_VALUE"""),106.8659966)</f>
        <v>106.8659966</v>
      </c>
    </row>
    <row r="155">
      <c r="A155" s="2">
        <v>2024.0</v>
      </c>
      <c r="B155" s="3" t="s">
        <v>18</v>
      </c>
      <c r="C155" s="3" t="s">
        <v>167</v>
      </c>
      <c r="D155" s="3" t="s">
        <v>298</v>
      </c>
      <c r="E155" s="2">
        <v>6.9965989E7</v>
      </c>
      <c r="F155" s="3" t="s">
        <v>299</v>
      </c>
      <c r="G155" s="2">
        <v>4.0</v>
      </c>
      <c r="H155" s="4">
        <f>IFERROR(__xludf.DUMMYFUNCTION("SPLIT(GETLATLONG(F155 &amp; "", "" &amp; B155), ""|"")"),-6.1674877)</f>
        <v>-6.1674877</v>
      </c>
      <c r="I155" s="5">
        <f>IFERROR(__xludf.DUMMYFUNCTION("""COMPUTED_VALUE"""),106.8830178)</f>
        <v>106.8830178</v>
      </c>
    </row>
    <row r="156">
      <c r="A156" s="2">
        <v>2024.0</v>
      </c>
      <c r="B156" s="3" t="s">
        <v>35</v>
      </c>
      <c r="C156" s="3" t="s">
        <v>24</v>
      </c>
      <c r="D156" s="3" t="s">
        <v>300</v>
      </c>
      <c r="E156" s="2">
        <v>2.0109575E7</v>
      </c>
      <c r="F156" s="3" t="s">
        <v>301</v>
      </c>
      <c r="G156" s="2">
        <v>99.0</v>
      </c>
      <c r="H156" s="4">
        <f>IFERROR(__xludf.DUMMYFUNCTION("SPLIT(GETLATLONG(F156 &amp; "", "" &amp; B156), ""|"")"),-6.19529109999999)</f>
        <v>-6.1952911</v>
      </c>
      <c r="I156" s="5">
        <f>IFERROR(__xludf.DUMMYFUNCTION("""COMPUTED_VALUE"""),106.7517534)</f>
        <v>106.7517534</v>
      </c>
    </row>
    <row r="157">
      <c r="A157" s="2">
        <v>2024.0</v>
      </c>
      <c r="B157" s="3" t="s">
        <v>78</v>
      </c>
      <c r="C157" s="3" t="s">
        <v>167</v>
      </c>
      <c r="D157" s="3" t="s">
        <v>302</v>
      </c>
      <c r="E157" s="2">
        <v>2.0109684E7</v>
      </c>
      <c r="F157" s="3" t="s">
        <v>303</v>
      </c>
      <c r="G157" s="2">
        <v>26.0</v>
      </c>
      <c r="H157" s="4">
        <f>IFERROR(__xludf.DUMMYFUNCTION("SPLIT(GETLATLONG(F157 &amp; "", "" &amp; B157), ""|"")"),-6.17918999999999)</f>
        <v>-6.17919</v>
      </c>
      <c r="I157" s="5">
        <f>IFERROR(__xludf.DUMMYFUNCTION("""COMPUTED_VALUE"""),106.8872)</f>
        <v>106.8872</v>
      </c>
    </row>
    <row r="158">
      <c r="A158" s="2">
        <v>2024.0</v>
      </c>
      <c r="B158" s="3" t="s">
        <v>35</v>
      </c>
      <c r="C158" s="3" t="s">
        <v>13</v>
      </c>
      <c r="D158" s="3" t="s">
        <v>304</v>
      </c>
      <c r="E158" s="2">
        <v>2.0109926E7</v>
      </c>
      <c r="F158" s="3" t="s">
        <v>57</v>
      </c>
      <c r="G158" s="2">
        <v>36.0</v>
      </c>
      <c r="H158" s="4">
        <f>IFERROR(__xludf.DUMMYFUNCTION("SPLIT(GETLATLONG(F158 &amp; "", "" &amp; B158), ""|"")"),-6.1769224)</f>
        <v>-6.1769224</v>
      </c>
      <c r="I158" s="5">
        <f>IFERROR(__xludf.DUMMYFUNCTION("""COMPUTED_VALUE"""),106.7621508)</f>
        <v>106.7621508</v>
      </c>
    </row>
    <row r="159">
      <c r="A159" s="2">
        <v>2024.0</v>
      </c>
      <c r="B159" s="3" t="s">
        <v>18</v>
      </c>
      <c r="C159" s="3" t="s">
        <v>24</v>
      </c>
      <c r="D159" s="3" t="s">
        <v>305</v>
      </c>
      <c r="E159" s="2">
        <v>2.0109937E7</v>
      </c>
      <c r="F159" s="3" t="s">
        <v>306</v>
      </c>
      <c r="G159" s="2">
        <v>206.0</v>
      </c>
      <c r="H159" s="4">
        <f>IFERROR(__xludf.DUMMYFUNCTION("SPLIT(GETLATLONG(F159 &amp; "", "" &amp; B159), ""|"")"),-6.14963)</f>
        <v>-6.14963</v>
      </c>
      <c r="I159" s="5">
        <f>IFERROR(__xludf.DUMMYFUNCTION("""COMPUTED_VALUE"""),106.92147)</f>
        <v>106.92147</v>
      </c>
    </row>
    <row r="160">
      <c r="A160" s="2">
        <v>2024.0</v>
      </c>
      <c r="B160" s="3" t="s">
        <v>18</v>
      </c>
      <c r="C160" s="3" t="s">
        <v>24</v>
      </c>
      <c r="D160" s="3" t="s">
        <v>307</v>
      </c>
      <c r="E160" s="2">
        <v>2.0109938E7</v>
      </c>
      <c r="F160" s="3" t="s">
        <v>308</v>
      </c>
      <c r="G160" s="2">
        <v>268.0</v>
      </c>
      <c r="H160" s="4">
        <f>IFERROR(__xludf.DUMMYFUNCTION("SPLIT(GETLATLONG(F160 &amp; "", "" &amp; B160), ""|"")"),-6.1518492)</f>
        <v>-6.1518492</v>
      </c>
      <c r="I160" s="5">
        <f>IFERROR(__xludf.DUMMYFUNCTION("""COMPUTED_VALUE"""),106.8977819)</f>
        <v>106.8977819</v>
      </c>
    </row>
    <row r="161">
      <c r="A161" s="2">
        <v>2024.0</v>
      </c>
      <c r="B161" s="3" t="s">
        <v>23</v>
      </c>
      <c r="C161" s="3" t="s">
        <v>24</v>
      </c>
      <c r="D161" s="3" t="s">
        <v>309</v>
      </c>
      <c r="E161" s="2">
        <v>2.0110152E7</v>
      </c>
      <c r="F161" s="3" t="s">
        <v>310</v>
      </c>
      <c r="G161" s="2">
        <v>24.0</v>
      </c>
      <c r="H161" s="4">
        <f>IFERROR(__xludf.DUMMYFUNCTION("SPLIT(GETLATLONG(F161 &amp; "", "" &amp; B161), ""|"")"),-6.259866)</f>
        <v>-6.259866</v>
      </c>
      <c r="I161" s="5">
        <f>IFERROR(__xludf.DUMMYFUNCTION("""COMPUTED_VALUE"""),106.7884778)</f>
        <v>106.7884778</v>
      </c>
    </row>
    <row r="162">
      <c r="A162" s="2">
        <v>2024.0</v>
      </c>
      <c r="B162" s="3" t="s">
        <v>23</v>
      </c>
      <c r="C162" s="3" t="s">
        <v>13</v>
      </c>
      <c r="D162" s="3" t="s">
        <v>311</v>
      </c>
      <c r="E162" s="2">
        <v>2.0110153E7</v>
      </c>
      <c r="F162" s="3" t="s">
        <v>310</v>
      </c>
      <c r="G162" s="2">
        <v>9.0</v>
      </c>
      <c r="H162" s="4">
        <f>IFERROR(__xludf.DUMMYFUNCTION("SPLIT(GETLATLONG(F162 &amp; "", "" &amp; B162), ""|"")"),-6.259866)</f>
        <v>-6.259866</v>
      </c>
      <c r="I162" s="5">
        <f>IFERROR(__xludf.DUMMYFUNCTION("""COMPUTED_VALUE"""),106.7884778)</f>
        <v>106.7884778</v>
      </c>
    </row>
    <row r="163">
      <c r="A163" s="2">
        <v>2024.0</v>
      </c>
      <c r="B163" s="3" t="s">
        <v>78</v>
      </c>
      <c r="C163" s="3" t="s">
        <v>10</v>
      </c>
      <c r="D163" s="3" t="s">
        <v>312</v>
      </c>
      <c r="E163" s="2">
        <v>2.0112284E7</v>
      </c>
      <c r="F163" s="3" t="s">
        <v>313</v>
      </c>
      <c r="G163" s="2">
        <v>195.0</v>
      </c>
      <c r="H163" s="4">
        <f>IFERROR(__xludf.DUMMYFUNCTION("SPLIT(GETLATLONG(F163 &amp; "", "" &amp; B163), ""|"")"),-6.1779499)</f>
        <v>-6.1779499</v>
      </c>
      <c r="I163" s="5">
        <f>IFERROR(__xludf.DUMMYFUNCTION("""COMPUTED_VALUE"""),106.882321)</f>
        <v>106.882321</v>
      </c>
    </row>
    <row r="164">
      <c r="A164" s="2">
        <v>2024.0</v>
      </c>
      <c r="B164" s="3" t="s">
        <v>23</v>
      </c>
      <c r="C164" s="3" t="s">
        <v>13</v>
      </c>
      <c r="D164" s="3" t="s">
        <v>314</v>
      </c>
      <c r="E164" s="2">
        <v>2.0112459E7</v>
      </c>
      <c r="F164" s="3" t="s">
        <v>164</v>
      </c>
      <c r="G164" s="2">
        <v>216.0</v>
      </c>
      <c r="H164" s="4">
        <f>IFERROR(__xludf.DUMMYFUNCTION("SPLIT(GETLATLONG(F164 &amp; "", "" &amp; B164), ""|"")"),-6.2505639)</f>
        <v>-6.2505639</v>
      </c>
      <c r="I164" s="5">
        <f>IFERROR(__xludf.DUMMYFUNCTION("""COMPUTED_VALUE"""),106.7815502)</f>
        <v>106.7815502</v>
      </c>
    </row>
    <row r="165">
      <c r="A165" s="2">
        <v>2024.0</v>
      </c>
      <c r="B165" s="3" t="s">
        <v>18</v>
      </c>
      <c r="C165" s="3" t="s">
        <v>10</v>
      </c>
      <c r="D165" s="3" t="s">
        <v>315</v>
      </c>
      <c r="E165" s="2">
        <v>2.0112462E7</v>
      </c>
      <c r="F165" s="3" t="s">
        <v>316</v>
      </c>
      <c r="G165" s="2">
        <v>340.0</v>
      </c>
      <c r="H165" s="4">
        <f>IFERROR(__xludf.DUMMYFUNCTION("SPLIT(GETLATLONG(F165 &amp; "", "" &amp; B165), ""|"")"),-6.1126498)</f>
        <v>-6.1126498</v>
      </c>
      <c r="I165" s="5">
        <f>IFERROR(__xludf.DUMMYFUNCTION("""COMPUTED_VALUE"""),106.7494496)</f>
        <v>106.7494496</v>
      </c>
    </row>
    <row r="166">
      <c r="A166" s="2">
        <v>2024.0</v>
      </c>
      <c r="B166" s="3" t="s">
        <v>35</v>
      </c>
      <c r="C166" s="3" t="s">
        <v>13</v>
      </c>
      <c r="D166" s="3" t="s">
        <v>317</v>
      </c>
      <c r="E166" s="2">
        <v>2.0112465E7</v>
      </c>
      <c r="F166" s="3" t="s">
        <v>112</v>
      </c>
      <c r="G166" s="2">
        <v>301.0</v>
      </c>
      <c r="H166" s="4">
        <f>IFERROR(__xludf.DUMMYFUNCTION("SPLIT(GETLATLONG(F166 &amp; "", "" &amp; B166), ""|"")"),-6.1966958)</f>
        <v>-6.1966958</v>
      </c>
      <c r="I166" s="5">
        <f>IFERROR(__xludf.DUMMYFUNCTION("""COMPUTED_VALUE"""),106.7319117)</f>
        <v>106.7319117</v>
      </c>
    </row>
    <row r="167">
      <c r="A167" s="2">
        <v>2024.0</v>
      </c>
      <c r="B167" s="3" t="s">
        <v>35</v>
      </c>
      <c r="C167" s="3" t="s">
        <v>13</v>
      </c>
      <c r="D167" s="3" t="s">
        <v>318</v>
      </c>
      <c r="E167" s="2">
        <v>2.0112466E7</v>
      </c>
      <c r="F167" s="3" t="s">
        <v>319</v>
      </c>
      <c r="G167" s="2">
        <v>67.0</v>
      </c>
      <c r="H167" s="4">
        <f>IFERROR(__xludf.DUMMYFUNCTION("SPLIT(GETLATLONG(F167 &amp; "", "" &amp; B167), ""|"")"),-6.1367809)</f>
        <v>-6.1367809</v>
      </c>
      <c r="I167" s="5">
        <f>IFERROR(__xludf.DUMMYFUNCTION("""COMPUTED_VALUE"""),106.7311085)</f>
        <v>106.7311085</v>
      </c>
    </row>
    <row r="168">
      <c r="A168" s="2">
        <v>2024.0</v>
      </c>
      <c r="B168" s="3" t="s">
        <v>35</v>
      </c>
      <c r="C168" s="3" t="s">
        <v>24</v>
      </c>
      <c r="D168" s="3" t="s">
        <v>320</v>
      </c>
      <c r="E168" s="2">
        <v>2.0112514E7</v>
      </c>
      <c r="F168" s="3" t="s">
        <v>321</v>
      </c>
      <c r="G168" s="2">
        <v>276.0</v>
      </c>
      <c r="H168" s="4">
        <f>IFERROR(__xludf.DUMMYFUNCTION("SPLIT(GETLATLONG(F168 &amp; "", "" &amp; B168), ""|"")"),-6.2180667)</f>
        <v>-6.2180667</v>
      </c>
      <c r="I168" s="5">
        <f>IFERROR(__xludf.DUMMYFUNCTION("""COMPUTED_VALUE"""),106.7633651)</f>
        <v>106.7633651</v>
      </c>
    </row>
    <row r="169">
      <c r="A169" s="2">
        <v>2024.0</v>
      </c>
      <c r="B169" s="3" t="s">
        <v>18</v>
      </c>
      <c r="C169" s="3" t="s">
        <v>10</v>
      </c>
      <c r="D169" s="3" t="s">
        <v>322</v>
      </c>
      <c r="E169" s="2">
        <v>2.0177804E7</v>
      </c>
      <c r="F169" s="3" t="s">
        <v>323</v>
      </c>
      <c r="G169" s="2">
        <v>234.0</v>
      </c>
      <c r="H169" s="4">
        <f>IFERROR(__xludf.DUMMYFUNCTION("SPLIT(GETLATLONG(F169 &amp; "", "" &amp; B169), ""|"")"),-6.1633714)</f>
        <v>-6.1633714</v>
      </c>
      <c r="I169" s="5">
        <f>IFERROR(__xludf.DUMMYFUNCTION("""COMPUTED_VALUE"""),106.8920789)</f>
        <v>106.8920789</v>
      </c>
    </row>
    <row r="170">
      <c r="A170" s="2">
        <v>2024.0</v>
      </c>
      <c r="B170" s="3" t="s">
        <v>35</v>
      </c>
      <c r="C170" s="3" t="s">
        <v>10</v>
      </c>
      <c r="D170" s="3" t="s">
        <v>324</v>
      </c>
      <c r="E170" s="2">
        <v>2.0177805E7</v>
      </c>
      <c r="F170" s="3" t="s">
        <v>325</v>
      </c>
      <c r="G170" s="2">
        <v>164.0</v>
      </c>
      <c r="H170" s="4">
        <f>IFERROR(__xludf.DUMMYFUNCTION("SPLIT(GETLATLONG(F170 &amp; "", "" &amp; B170), ""|"")"),-6.172958)</f>
        <v>-6.172958</v>
      </c>
      <c r="I170" s="5">
        <f>IFERROR(__xludf.DUMMYFUNCTION("""COMPUTED_VALUE"""),106.788526)</f>
        <v>106.788526</v>
      </c>
    </row>
    <row r="171">
      <c r="A171" s="2">
        <v>2024.0</v>
      </c>
      <c r="B171" s="3" t="s">
        <v>35</v>
      </c>
      <c r="C171" s="3" t="s">
        <v>13</v>
      </c>
      <c r="D171" s="3" t="s">
        <v>326</v>
      </c>
      <c r="E171" s="2">
        <v>2.0177838E7</v>
      </c>
      <c r="F171" s="3" t="s">
        <v>327</v>
      </c>
      <c r="G171" s="2">
        <v>212.0</v>
      </c>
      <c r="H171" s="4">
        <f>IFERROR(__xludf.DUMMYFUNCTION("SPLIT(GETLATLONG(F171 &amp; "", "" &amp; B171), ""|"")"),-6.1746064)</f>
        <v>-6.1746064</v>
      </c>
      <c r="I171" s="5">
        <f>IFERROR(__xludf.DUMMYFUNCTION("""COMPUTED_VALUE"""),106.71211)</f>
        <v>106.71211</v>
      </c>
    </row>
    <row r="172">
      <c r="A172" s="2">
        <v>2024.0</v>
      </c>
      <c r="B172" s="3" t="s">
        <v>23</v>
      </c>
      <c r="C172" s="3" t="s">
        <v>10</v>
      </c>
      <c r="D172" s="3" t="s">
        <v>328</v>
      </c>
      <c r="E172" s="2">
        <v>2.0177916E7</v>
      </c>
      <c r="F172" s="3" t="s">
        <v>329</v>
      </c>
      <c r="G172" s="2">
        <v>54.0</v>
      </c>
      <c r="H172" s="4">
        <f>IFERROR(__xludf.DUMMYFUNCTION("SPLIT(GETLATLONG(F172 &amp; "", "" &amp; B172), ""|"")"),-6.2452647)</f>
        <v>-6.2452647</v>
      </c>
      <c r="I172" s="5">
        <f>IFERROR(__xludf.DUMMYFUNCTION("""COMPUTED_VALUE"""),106.7816134)</f>
        <v>106.7816134</v>
      </c>
    </row>
    <row r="173">
      <c r="A173" s="2">
        <v>2024.0</v>
      </c>
      <c r="B173" s="3" t="s">
        <v>23</v>
      </c>
      <c r="C173" s="3" t="s">
        <v>13</v>
      </c>
      <c r="D173" s="3" t="s">
        <v>330</v>
      </c>
      <c r="E173" s="2">
        <v>2.0178216E7</v>
      </c>
      <c r="F173" s="3" t="s">
        <v>331</v>
      </c>
      <c r="G173" s="2">
        <v>77.0</v>
      </c>
      <c r="H173" s="4">
        <f>IFERROR(__xludf.DUMMYFUNCTION("SPLIT(GETLATLONG(F173 &amp; "", "" &amp; B173), ""|"")"),-6.2849968)</f>
        <v>-6.2849968</v>
      </c>
      <c r="I173" s="5">
        <f>IFERROR(__xludf.DUMMYFUNCTION("""COMPUTED_VALUE"""),106.7903972)</f>
        <v>106.7903972</v>
      </c>
    </row>
    <row r="174">
      <c r="A174" s="2">
        <v>2024.0</v>
      </c>
      <c r="B174" s="3" t="s">
        <v>18</v>
      </c>
      <c r="C174" s="3" t="s">
        <v>13</v>
      </c>
      <c r="D174" s="3" t="s">
        <v>332</v>
      </c>
      <c r="E174" s="2">
        <v>2.0178279E7</v>
      </c>
      <c r="F174" s="3" t="s">
        <v>124</v>
      </c>
      <c r="G174" s="2">
        <v>192.0</v>
      </c>
      <c r="H174" s="4">
        <f>IFERROR(__xludf.DUMMYFUNCTION("SPLIT(GETLATLONG(F174 &amp; "", "" &amp; B174), ""|"")"),-6.1668797)</f>
        <v>-6.1668797</v>
      </c>
      <c r="I174" s="5">
        <f>IFERROR(__xludf.DUMMYFUNCTION("""COMPUTED_VALUE"""),106.9205689)</f>
        <v>106.9205689</v>
      </c>
    </row>
    <row r="175">
      <c r="A175" s="2">
        <v>2024.0</v>
      </c>
      <c r="B175" s="3" t="s">
        <v>18</v>
      </c>
      <c r="C175" s="3" t="s">
        <v>13</v>
      </c>
      <c r="D175" s="3" t="s">
        <v>333</v>
      </c>
      <c r="E175" s="2">
        <v>6.972568E7</v>
      </c>
      <c r="F175" s="3" t="s">
        <v>334</v>
      </c>
      <c r="G175" s="2">
        <v>216.0</v>
      </c>
      <c r="H175" s="4">
        <f>IFERROR(__xludf.DUMMYFUNCTION("SPLIT(GETLATLONG(F175 &amp; "", "" &amp; B175), ""|"")"),-6.1590023)</f>
        <v>-6.1590023</v>
      </c>
      <c r="I175" s="5">
        <f>IFERROR(__xludf.DUMMYFUNCTION("""COMPUTED_VALUE"""),106.893255)</f>
        <v>106.893255</v>
      </c>
    </row>
    <row r="176">
      <c r="A176" s="2">
        <v>2024.0</v>
      </c>
      <c r="B176" s="3" t="s">
        <v>18</v>
      </c>
      <c r="C176" s="3" t="s">
        <v>24</v>
      </c>
      <c r="D176" s="3" t="s">
        <v>335</v>
      </c>
      <c r="E176" s="2">
        <v>6.9753896E7</v>
      </c>
      <c r="F176" s="3" t="s">
        <v>336</v>
      </c>
      <c r="G176" s="2">
        <v>1502.0</v>
      </c>
      <c r="H176" s="4">
        <f>IFERROR(__xludf.DUMMYFUNCTION("SPLIT(GETLATLONG(F176 &amp; "", "" &amp; B176), ""|"")"),-6.1070131)</f>
        <v>-6.1070131</v>
      </c>
      <c r="I176" s="5">
        <f>IFERROR(__xludf.DUMMYFUNCTION("""COMPUTED_VALUE"""),106.7370211)</f>
        <v>106.7370211</v>
      </c>
    </row>
    <row r="177">
      <c r="A177" s="2">
        <v>2024.0</v>
      </c>
      <c r="B177" s="3" t="s">
        <v>35</v>
      </c>
      <c r="C177" s="3" t="s">
        <v>10</v>
      </c>
      <c r="D177" s="3" t="s">
        <v>337</v>
      </c>
      <c r="E177" s="2">
        <v>6.9754377E7</v>
      </c>
      <c r="F177" s="3" t="s">
        <v>338</v>
      </c>
      <c r="G177" s="2">
        <v>129.0</v>
      </c>
      <c r="H177" s="4">
        <f>IFERROR(__xludf.DUMMYFUNCTION("SPLIT(GETLATLONG(F177 &amp; "", "" &amp; B177), ""|"")"),-6.1746064)</f>
        <v>-6.1746064</v>
      </c>
      <c r="I177" s="5">
        <f>IFERROR(__xludf.DUMMYFUNCTION("""COMPUTED_VALUE"""),106.71211)</f>
        <v>106.71211</v>
      </c>
    </row>
    <row r="178">
      <c r="A178" s="2">
        <v>2024.0</v>
      </c>
      <c r="B178" s="3" t="s">
        <v>35</v>
      </c>
      <c r="C178" s="3" t="s">
        <v>24</v>
      </c>
      <c r="D178" s="3" t="s">
        <v>339</v>
      </c>
      <c r="E178" s="2">
        <v>6.9756613E7</v>
      </c>
      <c r="F178" s="3" t="s">
        <v>340</v>
      </c>
      <c r="G178" s="2">
        <v>527.0</v>
      </c>
      <c r="H178" s="4">
        <f>IFERROR(__xludf.DUMMYFUNCTION("SPLIT(GETLATLONG(F178 &amp; "", "" &amp; B178), ""|"")"),-6.13890309999999)</f>
        <v>-6.1389031</v>
      </c>
      <c r="I178" s="5">
        <f>IFERROR(__xludf.DUMMYFUNCTION("""COMPUTED_VALUE"""),106.7137892)</f>
        <v>106.7137892</v>
      </c>
    </row>
    <row r="179">
      <c r="A179" s="2">
        <v>2024.0</v>
      </c>
      <c r="B179" s="3" t="s">
        <v>35</v>
      </c>
      <c r="C179" s="3" t="s">
        <v>13</v>
      </c>
      <c r="D179" s="3" t="s">
        <v>341</v>
      </c>
      <c r="E179" s="2">
        <v>6.9758812E7</v>
      </c>
      <c r="F179" s="3" t="s">
        <v>342</v>
      </c>
      <c r="G179" s="2">
        <v>328.0</v>
      </c>
      <c r="H179" s="4">
        <f>IFERROR(__xludf.DUMMYFUNCTION("SPLIT(GETLATLONG(F179 &amp; "", "" &amp; B179), ""|"")"),-6.1954464)</f>
        <v>-6.1954464</v>
      </c>
      <c r="I179" s="5">
        <f>IFERROR(__xludf.DUMMYFUNCTION("""COMPUTED_VALUE"""),106.9505514)</f>
        <v>106.9505514</v>
      </c>
    </row>
    <row r="180">
      <c r="A180" s="2">
        <v>2024.0</v>
      </c>
      <c r="B180" s="3" t="s">
        <v>9</v>
      </c>
      <c r="C180" s="3" t="s">
        <v>10</v>
      </c>
      <c r="D180" s="3" t="s">
        <v>343</v>
      </c>
      <c r="E180" s="2">
        <v>6.9758962E7</v>
      </c>
      <c r="F180" s="3" t="s">
        <v>344</v>
      </c>
      <c r="G180" s="2">
        <v>182.0</v>
      </c>
      <c r="H180" s="4">
        <f>IFERROR(__xludf.DUMMYFUNCTION("SPLIT(GETLATLONG(F180 &amp; "", "" &amp; B180), ""|"")"),-6.1532649)</f>
        <v>-6.1532649</v>
      </c>
      <c r="I180" s="5">
        <f>IFERROR(__xludf.DUMMYFUNCTION("""COMPUTED_VALUE"""),106.850663)</f>
        <v>106.850663</v>
      </c>
    </row>
    <row r="181">
      <c r="A181" s="2">
        <v>2024.0</v>
      </c>
      <c r="B181" s="3" t="s">
        <v>9</v>
      </c>
      <c r="C181" s="3" t="s">
        <v>24</v>
      </c>
      <c r="D181" s="3" t="s">
        <v>345</v>
      </c>
      <c r="E181" s="2">
        <v>6.9759079E7</v>
      </c>
      <c r="F181" s="3" t="s">
        <v>346</v>
      </c>
      <c r="G181" s="2">
        <v>91.0</v>
      </c>
      <c r="H181" s="4">
        <f>IFERROR(__xludf.DUMMYFUNCTION("SPLIT(GETLATLONG(F181 &amp; "", "" &amp; B181), ""|"")"),-6.1532649)</f>
        <v>-6.1532649</v>
      </c>
      <c r="I181" s="5">
        <f>IFERROR(__xludf.DUMMYFUNCTION("""COMPUTED_VALUE"""),106.850663)</f>
        <v>106.850663</v>
      </c>
    </row>
    <row r="182">
      <c r="A182" s="2">
        <v>2024.0</v>
      </c>
      <c r="B182" s="3" t="s">
        <v>9</v>
      </c>
      <c r="C182" s="3" t="s">
        <v>13</v>
      </c>
      <c r="D182" s="3" t="s">
        <v>347</v>
      </c>
      <c r="E182" s="2">
        <v>6.975908E7</v>
      </c>
      <c r="F182" s="3" t="s">
        <v>346</v>
      </c>
      <c r="G182" s="2">
        <v>153.0</v>
      </c>
      <c r="H182" s="4">
        <f>IFERROR(__xludf.DUMMYFUNCTION("SPLIT(GETLATLONG(F182 &amp; "", "" &amp; B182), ""|"")"),-6.1532649)</f>
        <v>-6.1532649</v>
      </c>
      <c r="I182" s="5">
        <f>IFERROR(__xludf.DUMMYFUNCTION("""COMPUTED_VALUE"""),106.850663)</f>
        <v>106.850663</v>
      </c>
    </row>
    <row r="183">
      <c r="A183" s="2">
        <v>2024.0</v>
      </c>
      <c r="B183" s="3" t="s">
        <v>23</v>
      </c>
      <c r="C183" s="3" t="s">
        <v>13</v>
      </c>
      <c r="D183" s="3" t="s">
        <v>348</v>
      </c>
      <c r="E183" s="2">
        <v>6.9767783E7</v>
      </c>
      <c r="F183" s="3" t="s">
        <v>349</v>
      </c>
      <c r="G183" s="2">
        <v>197.0</v>
      </c>
      <c r="H183" s="4">
        <f>IFERROR(__xludf.DUMMYFUNCTION("SPLIT(GETLATLONG(F183 &amp; "", "" &amp; B183), ""|"")"),-6.30797829999999)</f>
        <v>-6.3079783</v>
      </c>
      <c r="I183" s="5">
        <f>IFERROR(__xludf.DUMMYFUNCTION("""COMPUTED_VALUE"""),106.8041031)</f>
        <v>106.8041031</v>
      </c>
    </row>
    <row r="184">
      <c r="A184" s="2">
        <v>2024.0</v>
      </c>
      <c r="B184" s="3" t="s">
        <v>35</v>
      </c>
      <c r="C184" s="3" t="s">
        <v>24</v>
      </c>
      <c r="D184" s="3" t="s">
        <v>350</v>
      </c>
      <c r="E184" s="2">
        <v>6.9768298E7</v>
      </c>
      <c r="F184" s="3" t="s">
        <v>351</v>
      </c>
      <c r="G184" s="2">
        <v>408.0</v>
      </c>
      <c r="H184" s="4">
        <f>IFERROR(__xludf.DUMMYFUNCTION("SPLIT(GETLATLONG(F184 &amp; "", "" &amp; B184), ""|"")"),-6.1297339)</f>
        <v>-6.1297339</v>
      </c>
      <c r="I184" s="5">
        <f>IFERROR(__xludf.DUMMYFUNCTION("""COMPUTED_VALUE"""),106.7077765)</f>
        <v>106.7077765</v>
      </c>
    </row>
    <row r="185">
      <c r="A185" s="2">
        <v>2024.0</v>
      </c>
      <c r="B185" s="3" t="s">
        <v>78</v>
      </c>
      <c r="C185" s="3" t="s">
        <v>24</v>
      </c>
      <c r="D185" s="3" t="s">
        <v>352</v>
      </c>
      <c r="E185" s="2">
        <v>6.9772651E7</v>
      </c>
      <c r="F185" s="3" t="s">
        <v>353</v>
      </c>
      <c r="G185" s="2">
        <v>570.0</v>
      </c>
      <c r="H185" s="4">
        <f>IFERROR(__xludf.DUMMYFUNCTION("SPLIT(GETLATLONG(F185 &amp; "", "" &amp; B185), ""|"")"),-6.337152)</f>
        <v>-6.337152</v>
      </c>
      <c r="I185" s="5">
        <f>IFERROR(__xludf.DUMMYFUNCTION("""COMPUTED_VALUE"""),106.8561389)</f>
        <v>106.8561389</v>
      </c>
    </row>
    <row r="186">
      <c r="A186" s="2">
        <v>2024.0</v>
      </c>
      <c r="B186" s="3" t="s">
        <v>35</v>
      </c>
      <c r="C186" s="3" t="s">
        <v>13</v>
      </c>
      <c r="D186" s="3" t="s">
        <v>354</v>
      </c>
      <c r="E186" s="2">
        <v>6.9773498E7</v>
      </c>
      <c r="F186" s="3" t="s">
        <v>355</v>
      </c>
      <c r="G186" s="2">
        <v>55.0</v>
      </c>
      <c r="H186" s="4">
        <f>IFERROR(__xludf.DUMMYFUNCTION("SPLIT(GETLATLONG(F186 &amp; "", "" &amp; B186), ""|"")"),-6.1995997)</f>
        <v>-6.1995997</v>
      </c>
      <c r="I186" s="5">
        <f>IFERROR(__xludf.DUMMYFUNCTION("""COMPUTED_VALUE"""),106.7384143)</f>
        <v>106.7384143</v>
      </c>
    </row>
    <row r="187">
      <c r="A187" s="2">
        <v>2024.0</v>
      </c>
      <c r="B187" s="3" t="s">
        <v>35</v>
      </c>
      <c r="C187" s="3" t="s">
        <v>10</v>
      </c>
      <c r="D187" s="3" t="s">
        <v>356</v>
      </c>
      <c r="E187" s="2">
        <v>6.9774557E7</v>
      </c>
      <c r="F187" s="3" t="s">
        <v>357</v>
      </c>
      <c r="G187" s="2">
        <v>252.0</v>
      </c>
      <c r="H187" s="4">
        <f>IFERROR(__xludf.DUMMYFUNCTION("SPLIT(GETLATLONG(F187 &amp; "", "" &amp; B187), ""|"")"),-6.1669183)</f>
        <v>-6.1669183</v>
      </c>
      <c r="I187" s="5">
        <f>IFERROR(__xludf.DUMMYFUNCTION("""COMPUTED_VALUE"""),106.7446173)</f>
        <v>106.7446173</v>
      </c>
    </row>
    <row r="188">
      <c r="A188" s="2">
        <v>2024.0</v>
      </c>
      <c r="B188" s="3" t="s">
        <v>23</v>
      </c>
      <c r="C188" s="3" t="s">
        <v>167</v>
      </c>
      <c r="D188" s="3" t="s">
        <v>358</v>
      </c>
      <c r="E188" s="2">
        <v>6.9786002E7</v>
      </c>
      <c r="F188" s="3" t="s">
        <v>30</v>
      </c>
      <c r="G188" s="2">
        <v>42.0</v>
      </c>
      <c r="H188" s="4">
        <f>IFERROR(__xludf.DUMMYFUNCTION("SPLIT(GETLATLONG(F188 &amp; "", "" &amp; B188), ""|"")"),-6.3162048)</f>
        <v>-6.3162048</v>
      </c>
      <c r="I188" s="5">
        <f>IFERROR(__xludf.DUMMYFUNCTION("""COMPUTED_VALUE"""),106.8145793)</f>
        <v>106.8145793</v>
      </c>
    </row>
    <row r="189">
      <c r="A189" s="2">
        <v>2024.0</v>
      </c>
      <c r="B189" s="3" t="s">
        <v>35</v>
      </c>
      <c r="C189" s="3" t="s">
        <v>24</v>
      </c>
      <c r="D189" s="3" t="s">
        <v>359</v>
      </c>
      <c r="E189" s="2">
        <v>6.9786709E7</v>
      </c>
      <c r="F189" s="3" t="s">
        <v>360</v>
      </c>
      <c r="G189" s="2">
        <v>49.0</v>
      </c>
      <c r="H189" s="4">
        <f>IFERROR(__xludf.DUMMYFUNCTION("SPLIT(GETLATLONG(F189 &amp; "", "" &amp; B189), ""|"")"),-6.1660303)</f>
        <v>-6.1660303</v>
      </c>
      <c r="I189" s="5">
        <f>IFERROR(__xludf.DUMMYFUNCTION("""COMPUTED_VALUE"""),106.7788953)</f>
        <v>106.7788953</v>
      </c>
    </row>
    <row r="190">
      <c r="A190" s="2">
        <v>2024.0</v>
      </c>
      <c r="B190" s="3" t="s">
        <v>23</v>
      </c>
      <c r="C190" s="3" t="s">
        <v>13</v>
      </c>
      <c r="D190" s="3" t="s">
        <v>361</v>
      </c>
      <c r="E190" s="2">
        <v>6.9853554E7</v>
      </c>
      <c r="F190" s="3" t="s">
        <v>362</v>
      </c>
      <c r="G190" s="2">
        <v>531.0</v>
      </c>
      <c r="H190" s="4">
        <f>IFERROR(__xludf.DUMMYFUNCTION("SPLIT(GETLATLONG(F190 &amp; "", "" &amp; B190), ""|"")"),-6.2881363)</f>
        <v>-6.2881363</v>
      </c>
      <c r="I190" s="5">
        <f>IFERROR(__xludf.DUMMYFUNCTION("""COMPUTED_VALUE"""),106.7876043)</f>
        <v>106.7876043</v>
      </c>
    </row>
    <row r="191">
      <c r="A191" s="2">
        <v>2024.0</v>
      </c>
      <c r="B191" s="3" t="s">
        <v>23</v>
      </c>
      <c r="C191" s="3" t="s">
        <v>10</v>
      </c>
      <c r="D191" s="3" t="s">
        <v>363</v>
      </c>
      <c r="E191" s="2">
        <v>6.9853555E7</v>
      </c>
      <c r="F191" s="3" t="s">
        <v>362</v>
      </c>
      <c r="G191" s="2">
        <v>672.0</v>
      </c>
      <c r="H191" s="4">
        <f>IFERROR(__xludf.DUMMYFUNCTION("SPLIT(GETLATLONG(F191 &amp; "", "" &amp; B191), ""|"")"),-6.2881363)</f>
        <v>-6.2881363</v>
      </c>
      <c r="I191" s="5">
        <f>IFERROR(__xludf.DUMMYFUNCTION("""COMPUTED_VALUE"""),106.7876043)</f>
        <v>106.7876043</v>
      </c>
    </row>
    <row r="192">
      <c r="A192" s="2">
        <v>2024.0</v>
      </c>
      <c r="B192" s="3" t="s">
        <v>18</v>
      </c>
      <c r="C192" s="3" t="s">
        <v>24</v>
      </c>
      <c r="D192" s="3" t="s">
        <v>364</v>
      </c>
      <c r="E192" s="2">
        <v>6.985689E7</v>
      </c>
      <c r="F192" s="3" t="s">
        <v>166</v>
      </c>
      <c r="G192" s="2">
        <v>120.0</v>
      </c>
      <c r="H192" s="4">
        <f>IFERROR(__xludf.DUMMYFUNCTION("SPLIT(GETLATLONG(F192 &amp; "", "" &amp; B192), ""|"")"),-6.1633714)</f>
        <v>-6.1633714</v>
      </c>
      <c r="I192" s="5">
        <f>IFERROR(__xludf.DUMMYFUNCTION("""COMPUTED_VALUE"""),106.8920789)</f>
        <v>106.8920789</v>
      </c>
    </row>
    <row r="193">
      <c r="A193" s="2">
        <v>2024.0</v>
      </c>
      <c r="B193" s="3" t="s">
        <v>18</v>
      </c>
      <c r="C193" s="3" t="s">
        <v>13</v>
      </c>
      <c r="D193" s="3" t="s">
        <v>365</v>
      </c>
      <c r="E193" s="2">
        <v>6.9856891E7</v>
      </c>
      <c r="F193" s="3" t="s">
        <v>166</v>
      </c>
      <c r="G193" s="2">
        <v>46.0</v>
      </c>
      <c r="H193" s="4">
        <f>IFERROR(__xludf.DUMMYFUNCTION("SPLIT(GETLATLONG(F193 &amp; "", "" &amp; B193), ""|"")"),-6.1633714)</f>
        <v>-6.1633714</v>
      </c>
      <c r="I193" s="5">
        <f>IFERROR(__xludf.DUMMYFUNCTION("""COMPUTED_VALUE"""),106.8920789)</f>
        <v>106.8920789</v>
      </c>
    </row>
    <row r="194">
      <c r="A194" s="2">
        <v>2024.0</v>
      </c>
      <c r="B194" s="3" t="s">
        <v>23</v>
      </c>
      <c r="C194" s="3" t="s">
        <v>167</v>
      </c>
      <c r="D194" s="3" t="s">
        <v>366</v>
      </c>
      <c r="E194" s="2">
        <v>6.9966957E7</v>
      </c>
      <c r="F194" s="3" t="s">
        <v>164</v>
      </c>
      <c r="G194" s="2">
        <v>25.0</v>
      </c>
      <c r="H194" s="4">
        <f>IFERROR(__xludf.DUMMYFUNCTION("SPLIT(GETLATLONG(F194 &amp; "", "" &amp; B194), ""|"")"),-6.2505639)</f>
        <v>-6.2505639</v>
      </c>
      <c r="I194" s="5">
        <f>IFERROR(__xludf.DUMMYFUNCTION("""COMPUTED_VALUE"""),106.7815502)</f>
        <v>106.7815502</v>
      </c>
    </row>
    <row r="195">
      <c r="A195" s="2">
        <v>2024.0</v>
      </c>
      <c r="B195" s="3" t="s">
        <v>23</v>
      </c>
      <c r="C195" s="3" t="s">
        <v>24</v>
      </c>
      <c r="D195" s="3" t="s">
        <v>367</v>
      </c>
      <c r="E195" s="2">
        <v>6.9973439E7</v>
      </c>
      <c r="F195" s="3" t="s">
        <v>368</v>
      </c>
      <c r="G195" s="2">
        <v>160.0</v>
      </c>
      <c r="H195" s="4">
        <f>IFERROR(__xludf.DUMMYFUNCTION("SPLIT(GETLATLONG(F195 &amp; "", "" &amp; B195), ""|"")"),-6.25366899999999)</f>
        <v>-6.253669</v>
      </c>
      <c r="I195" s="5">
        <f>IFERROR(__xludf.DUMMYFUNCTION("""COMPUTED_VALUE"""),106.836207)</f>
        <v>106.836207</v>
      </c>
    </row>
    <row r="196">
      <c r="A196" s="2">
        <v>2024.0</v>
      </c>
      <c r="B196" s="3" t="s">
        <v>18</v>
      </c>
      <c r="C196" s="3" t="s">
        <v>10</v>
      </c>
      <c r="D196" s="3" t="s">
        <v>369</v>
      </c>
      <c r="E196" s="2">
        <v>6.9975652E7</v>
      </c>
      <c r="F196" s="3" t="s">
        <v>192</v>
      </c>
      <c r="G196" s="2">
        <v>61.0</v>
      </c>
      <c r="H196" s="4">
        <f>IFERROR(__xludf.DUMMYFUNCTION("SPLIT(GETLATLONG(F196 &amp; "", "" &amp; B196), ""|"")"),-6.1482038)</f>
        <v>-6.1482038</v>
      </c>
      <c r="I196" s="5">
        <f>IFERROR(__xludf.DUMMYFUNCTION("""COMPUTED_VALUE"""),106.9100958)</f>
        <v>106.9100958</v>
      </c>
    </row>
    <row r="197">
      <c r="A197" s="2">
        <v>2024.0</v>
      </c>
      <c r="B197" s="3" t="s">
        <v>18</v>
      </c>
      <c r="C197" s="3" t="s">
        <v>10</v>
      </c>
      <c r="D197" s="3" t="s">
        <v>370</v>
      </c>
      <c r="E197" s="2">
        <v>6.9977407E7</v>
      </c>
      <c r="F197" s="3" t="s">
        <v>371</v>
      </c>
      <c r="G197" s="2">
        <v>107.0</v>
      </c>
      <c r="H197" s="4">
        <f>IFERROR(__xludf.DUMMYFUNCTION("SPLIT(GETLATLONG(F197 &amp; "", "" &amp; B197), ""|"")"),-6.166346)</f>
        <v>-6.166346</v>
      </c>
      <c r="I197" s="5">
        <f>IFERROR(__xludf.DUMMYFUNCTION("""COMPUTED_VALUE"""),106.9199793)</f>
        <v>106.9199793</v>
      </c>
    </row>
    <row r="198">
      <c r="A198" s="2">
        <v>2024.0</v>
      </c>
      <c r="B198" s="3" t="s">
        <v>35</v>
      </c>
      <c r="C198" s="3" t="s">
        <v>167</v>
      </c>
      <c r="D198" s="3" t="s">
        <v>298</v>
      </c>
      <c r="E198" s="2">
        <v>6.9978505E7</v>
      </c>
      <c r="F198" s="3" t="s">
        <v>372</v>
      </c>
      <c r="G198" s="2">
        <v>36.0</v>
      </c>
      <c r="H198" s="4">
        <f>IFERROR(__xludf.DUMMYFUNCTION("SPLIT(GETLATLONG(F198 &amp; "", "" &amp; B198), ""|"")"),-6.1969031)</f>
        <v>-6.1969031</v>
      </c>
      <c r="I198" s="5">
        <f>IFERROR(__xludf.DUMMYFUNCTION("""COMPUTED_VALUE"""),106.7611533)</f>
        <v>106.7611533</v>
      </c>
    </row>
    <row r="199">
      <c r="A199" s="2">
        <v>2024.0</v>
      </c>
      <c r="B199" s="3" t="s">
        <v>23</v>
      </c>
      <c r="C199" s="3" t="s">
        <v>167</v>
      </c>
      <c r="D199" s="3" t="s">
        <v>373</v>
      </c>
      <c r="E199" s="2">
        <v>6.9980489E7</v>
      </c>
      <c r="F199" s="3" t="s">
        <v>374</v>
      </c>
      <c r="G199" s="2">
        <v>29.0</v>
      </c>
      <c r="H199" s="4">
        <f>IFERROR(__xludf.DUMMYFUNCTION("SPLIT(GETLATLONG(F199 &amp; "", "" &amp; B199), ""|"")"),-6.25112859999999)</f>
        <v>-6.2511286</v>
      </c>
      <c r="I199" s="5">
        <f>IFERROR(__xludf.DUMMYFUNCTION("""COMPUTED_VALUE"""),106.7812217)</f>
        <v>106.7812217</v>
      </c>
    </row>
    <row r="200">
      <c r="A200" s="2">
        <v>2024.0</v>
      </c>
      <c r="B200" s="3" t="s">
        <v>23</v>
      </c>
      <c r="C200" s="3" t="s">
        <v>10</v>
      </c>
      <c r="D200" s="3" t="s">
        <v>375</v>
      </c>
      <c r="E200" s="2">
        <v>6.9983983E7</v>
      </c>
      <c r="F200" s="3" t="s">
        <v>331</v>
      </c>
      <c r="G200" s="2">
        <v>54.0</v>
      </c>
      <c r="H200" s="4">
        <f>IFERROR(__xludf.DUMMYFUNCTION("SPLIT(GETLATLONG(F200 &amp; "", "" &amp; B200), ""|"")"),-6.2849968)</f>
        <v>-6.2849968</v>
      </c>
      <c r="I200" s="5">
        <f>IFERROR(__xludf.DUMMYFUNCTION("""COMPUTED_VALUE"""),106.7903972)</f>
        <v>106.7903972</v>
      </c>
    </row>
    <row r="201">
      <c r="A201" s="2">
        <v>2024.0</v>
      </c>
      <c r="B201" s="3" t="s">
        <v>23</v>
      </c>
      <c r="C201" s="3" t="s">
        <v>167</v>
      </c>
      <c r="D201" s="3" t="s">
        <v>376</v>
      </c>
      <c r="E201" s="2">
        <v>9.0101063E7</v>
      </c>
      <c r="F201" s="3" t="s">
        <v>377</v>
      </c>
      <c r="G201" s="2">
        <v>36.0</v>
      </c>
      <c r="H201" s="4">
        <f>IFERROR(__xludf.DUMMYFUNCTION("SPLIT(GETLATLONG(F201 &amp; "", "" &amp; B201), ""|"")"),-6.2883946)</f>
        <v>-6.2883946</v>
      </c>
      <c r="I201" s="5">
        <f>IFERROR(__xludf.DUMMYFUNCTION("""COMPUTED_VALUE"""),106.7835552)</f>
        <v>106.7835552</v>
      </c>
    </row>
    <row r="202">
      <c r="A202" s="2">
        <v>2024.0</v>
      </c>
      <c r="B202" s="3" t="s">
        <v>35</v>
      </c>
      <c r="C202" s="3" t="s">
        <v>167</v>
      </c>
      <c r="D202" s="3" t="s">
        <v>378</v>
      </c>
      <c r="E202" s="2">
        <v>9.0101071E7</v>
      </c>
      <c r="F202" s="3" t="s">
        <v>379</v>
      </c>
      <c r="G202" s="2">
        <v>169.0</v>
      </c>
      <c r="H202" s="4">
        <f>IFERROR(__xludf.DUMMYFUNCTION("SPLIT(GETLATLONG(F202 &amp; "", "" &amp; B202), ""|"")"),-6.1742049)</f>
        <v>-6.1742049</v>
      </c>
      <c r="I202" s="5">
        <f>IFERROR(__xludf.DUMMYFUNCTION("""COMPUTED_VALUE"""),106.744253)</f>
        <v>106.744253</v>
      </c>
    </row>
    <row r="203">
      <c r="A203" s="2">
        <v>2024.0</v>
      </c>
      <c r="B203" s="3" t="s">
        <v>23</v>
      </c>
      <c r="C203" s="3" t="s">
        <v>167</v>
      </c>
      <c r="D203" s="3" t="s">
        <v>380</v>
      </c>
      <c r="E203" s="2">
        <v>9.0101076E7</v>
      </c>
      <c r="F203" s="3" t="s">
        <v>381</v>
      </c>
      <c r="G203" s="2">
        <v>12.0</v>
      </c>
      <c r="H203" s="4">
        <f>IFERROR(__xludf.DUMMYFUNCTION("SPLIT(GETLATLONG(F203 &amp; "", "" &amp; B203), ""|"")"),-6.259866)</f>
        <v>-6.259866</v>
      </c>
      <c r="I203" s="5">
        <f>IFERROR(__xludf.DUMMYFUNCTION("""COMPUTED_VALUE"""),106.7884778)</f>
        <v>106.7884778</v>
      </c>
    </row>
    <row r="204">
      <c r="A204" s="2">
        <v>2024.0</v>
      </c>
      <c r="B204" s="3" t="s">
        <v>35</v>
      </c>
      <c r="C204" s="3" t="s">
        <v>167</v>
      </c>
      <c r="D204" s="3" t="s">
        <v>382</v>
      </c>
      <c r="E204" s="2">
        <v>9.0101077E7</v>
      </c>
      <c r="F204" s="3" t="s">
        <v>383</v>
      </c>
      <c r="G204" s="2">
        <v>34.0</v>
      </c>
      <c r="H204" s="4">
        <f>IFERROR(__xludf.DUMMYFUNCTION("SPLIT(GETLATLONG(F204 &amp; "", "" &amp; B204), ""|"")"),-6.19197249999999)</f>
        <v>-6.1919725</v>
      </c>
      <c r="I204" s="5">
        <f>IFERROR(__xludf.DUMMYFUNCTION("""COMPUTED_VALUE"""),106.7271957)</f>
        <v>106.7271957</v>
      </c>
    </row>
    <row r="205">
      <c r="A205" s="2">
        <v>2024.0</v>
      </c>
      <c r="B205" s="3" t="s">
        <v>78</v>
      </c>
      <c r="C205" s="3" t="s">
        <v>167</v>
      </c>
      <c r="D205" s="3" t="s">
        <v>384</v>
      </c>
      <c r="E205" s="2">
        <v>9.0101085E7</v>
      </c>
      <c r="F205" s="3" t="s">
        <v>385</v>
      </c>
      <c r="G205" s="2">
        <v>22.0</v>
      </c>
      <c r="H205" s="4">
        <f>IFERROR(__xludf.DUMMYFUNCTION("SPLIT(GETLATLONG(F205 &amp; "", "" &amp; B205), ""|"")"),-6.1872169)</f>
        <v>-6.1872169</v>
      </c>
      <c r="I205" s="5">
        <f>IFERROR(__xludf.DUMMYFUNCTION("""COMPUTED_VALUE"""),106.8907722)</f>
        <v>106.8907722</v>
      </c>
    </row>
    <row r="206">
      <c r="A206" s="2">
        <v>2024.0</v>
      </c>
      <c r="B206" s="3" t="s">
        <v>23</v>
      </c>
      <c r="C206" s="3" t="s">
        <v>167</v>
      </c>
      <c r="D206" s="3" t="s">
        <v>386</v>
      </c>
      <c r="E206" s="2">
        <v>9.0101086E7</v>
      </c>
      <c r="F206" s="3" t="s">
        <v>387</v>
      </c>
      <c r="G206" s="2">
        <v>40.0</v>
      </c>
      <c r="H206" s="4">
        <f>IFERROR(__xludf.DUMMYFUNCTION("SPLIT(GETLATLONG(F206 &amp; "", "" &amp; B206), ""|"")"),-6.2984038)</f>
        <v>-6.2984038</v>
      </c>
      <c r="I206" s="5">
        <f>IFERROR(__xludf.DUMMYFUNCTION("""COMPUTED_VALUE"""),106.7840191)</f>
        <v>106.7840191</v>
      </c>
    </row>
    <row r="207">
      <c r="A207" s="2">
        <v>2024.0</v>
      </c>
      <c r="B207" s="3" t="s">
        <v>23</v>
      </c>
      <c r="C207" s="3" t="s">
        <v>167</v>
      </c>
      <c r="D207" s="3" t="s">
        <v>388</v>
      </c>
      <c r="E207" s="2">
        <v>9.0101095E7</v>
      </c>
      <c r="F207" s="3" t="s">
        <v>389</v>
      </c>
      <c r="G207" s="2">
        <v>27.0</v>
      </c>
      <c r="H207" s="4">
        <f>IFERROR(__xludf.DUMMYFUNCTION("SPLIT(GETLATLONG(F207 &amp; "", "" &amp; B207), ""|"")"),-6.26510729999999)</f>
        <v>-6.2651073</v>
      </c>
      <c r="I207" s="5">
        <f>IFERROR(__xludf.DUMMYFUNCTION("""COMPUTED_VALUE"""),106.8167149)</f>
        <v>106.8167149</v>
      </c>
    </row>
    <row r="208">
      <c r="A208" s="2">
        <v>2024.0</v>
      </c>
      <c r="B208" s="3" t="s">
        <v>23</v>
      </c>
      <c r="C208" s="3" t="s">
        <v>167</v>
      </c>
      <c r="D208" s="3" t="s">
        <v>390</v>
      </c>
      <c r="E208" s="2">
        <v>9.0101098E7</v>
      </c>
      <c r="F208" s="3" t="s">
        <v>391</v>
      </c>
      <c r="G208" s="2">
        <v>1.0</v>
      </c>
      <c r="H208" s="4">
        <f>IFERROR(__xludf.DUMMYFUNCTION("SPLIT(GETLATLONG(F208 &amp; "", "" &amp; B208), ""|"")"),-6.2512353)</f>
        <v>-6.2512353</v>
      </c>
      <c r="I208" s="5">
        <f>IFERROR(__xludf.DUMMYFUNCTION("""COMPUTED_VALUE"""),106.7815362)</f>
        <v>106.7815362</v>
      </c>
    </row>
    <row r="209">
      <c r="A209" s="2">
        <v>2024.0</v>
      </c>
      <c r="B209" s="3" t="s">
        <v>23</v>
      </c>
      <c r="C209" s="3" t="s">
        <v>167</v>
      </c>
      <c r="D209" s="3" t="s">
        <v>392</v>
      </c>
      <c r="E209" s="2">
        <v>9.0101099E7</v>
      </c>
      <c r="F209" s="3" t="s">
        <v>374</v>
      </c>
      <c r="G209" s="2">
        <v>43.0</v>
      </c>
      <c r="H209" s="4">
        <f>IFERROR(__xludf.DUMMYFUNCTION("SPLIT(GETLATLONG(F209 &amp; "", "" &amp; B209), ""|"")"),-6.25112859999999)</f>
        <v>-6.2511286</v>
      </c>
      <c r="I209" s="5">
        <f>IFERROR(__xludf.DUMMYFUNCTION("""COMPUTED_VALUE"""),106.7812217)</f>
        <v>106.7812217</v>
      </c>
    </row>
    <row r="210">
      <c r="A210" s="2">
        <v>2024.0</v>
      </c>
      <c r="B210" s="3" t="s">
        <v>35</v>
      </c>
      <c r="C210" s="3" t="s">
        <v>167</v>
      </c>
      <c r="D210" s="3" t="s">
        <v>393</v>
      </c>
      <c r="E210" s="2">
        <v>9.01011E7</v>
      </c>
      <c r="F210" s="3" t="s">
        <v>394</v>
      </c>
      <c r="G210" s="2">
        <v>42.0</v>
      </c>
      <c r="H210" s="4">
        <f>IFERROR(__xludf.DUMMYFUNCTION("SPLIT(GETLATLONG(F210 &amp; "", "" &amp; B210), ""|"")"),-6.1935444)</f>
        <v>-6.1935444</v>
      </c>
      <c r="I210" s="5">
        <f>IFERROR(__xludf.DUMMYFUNCTION("""COMPUTED_VALUE"""),106.7419278)</f>
        <v>106.7419278</v>
      </c>
    </row>
    <row r="211">
      <c r="A211" s="2">
        <v>2024.0</v>
      </c>
      <c r="B211" s="3" t="s">
        <v>23</v>
      </c>
      <c r="C211" s="3" t="s">
        <v>167</v>
      </c>
      <c r="D211" s="3" t="s">
        <v>395</v>
      </c>
      <c r="E211" s="2">
        <v>9.0101101E7</v>
      </c>
      <c r="F211" s="3" t="s">
        <v>396</v>
      </c>
      <c r="G211" s="2">
        <v>6.0</v>
      </c>
      <c r="H211" s="4">
        <f>IFERROR(__xludf.DUMMYFUNCTION("SPLIT(GETLATLONG(F211 &amp; "", "" &amp; B211), ""|"")"),-6.2828588)</f>
        <v>-6.2828588</v>
      </c>
      <c r="I211" s="5">
        <f>IFERROR(__xludf.DUMMYFUNCTION("""COMPUTED_VALUE"""),106.8270958)</f>
        <v>106.8270958</v>
      </c>
    </row>
    <row r="212">
      <c r="A212" s="2">
        <v>2024.0</v>
      </c>
      <c r="B212" s="3" t="s">
        <v>23</v>
      </c>
      <c r="C212" s="3" t="s">
        <v>167</v>
      </c>
      <c r="D212" s="3" t="s">
        <v>376</v>
      </c>
      <c r="E212" s="2">
        <v>9.0101102E7</v>
      </c>
      <c r="F212" s="3" t="s">
        <v>397</v>
      </c>
      <c r="G212" s="2">
        <v>50.0</v>
      </c>
      <c r="H212" s="4">
        <f>IFERROR(__xludf.DUMMYFUNCTION("SPLIT(GETLATLONG(F212 &amp; "", "" &amp; B212), ""|"")"),-6.2883946)</f>
        <v>-6.2883946</v>
      </c>
      <c r="I212" s="5">
        <f>IFERROR(__xludf.DUMMYFUNCTION("""COMPUTED_VALUE"""),106.7835552)</f>
        <v>106.7835552</v>
      </c>
    </row>
    <row r="213">
      <c r="A213" s="2">
        <v>2024.0</v>
      </c>
      <c r="B213" s="3" t="s">
        <v>23</v>
      </c>
      <c r="C213" s="3" t="s">
        <v>167</v>
      </c>
      <c r="D213" s="3" t="s">
        <v>376</v>
      </c>
      <c r="E213" s="2">
        <v>9.0101104E7</v>
      </c>
      <c r="F213" s="3" t="s">
        <v>398</v>
      </c>
      <c r="G213" s="2">
        <v>43.0</v>
      </c>
      <c r="H213" s="4">
        <f>IFERROR(__xludf.DUMMYFUNCTION("SPLIT(GETLATLONG(F213 &amp; "", "" &amp; B213), ""|"")"),-6.2361725)</f>
        <v>-6.2361725</v>
      </c>
      <c r="I213" s="5">
        <f>IFERROR(__xludf.DUMMYFUNCTION("""COMPUTED_VALUE"""),106.8016106)</f>
        <v>106.8016106</v>
      </c>
    </row>
    <row r="214">
      <c r="A214" s="2">
        <v>2024.0</v>
      </c>
      <c r="B214" s="3" t="s">
        <v>23</v>
      </c>
      <c r="C214" s="3" t="s">
        <v>167</v>
      </c>
      <c r="D214" s="3" t="s">
        <v>376</v>
      </c>
      <c r="E214" s="2">
        <v>9.0101105E7</v>
      </c>
      <c r="F214" s="3" t="s">
        <v>398</v>
      </c>
      <c r="G214" s="2">
        <v>38.0</v>
      </c>
      <c r="H214" s="4">
        <f>IFERROR(__xludf.DUMMYFUNCTION("SPLIT(GETLATLONG(F214 &amp; "", "" &amp; B214), ""|"")"),-6.2361725)</f>
        <v>-6.2361725</v>
      </c>
      <c r="I214" s="5">
        <f>IFERROR(__xludf.DUMMYFUNCTION("""COMPUTED_VALUE"""),106.8016106)</f>
        <v>106.8016106</v>
      </c>
    </row>
    <row r="215">
      <c r="A215" s="2">
        <v>2024.0</v>
      </c>
      <c r="B215" s="3" t="s">
        <v>78</v>
      </c>
      <c r="C215" s="3" t="s">
        <v>167</v>
      </c>
      <c r="D215" s="3" t="s">
        <v>386</v>
      </c>
      <c r="E215" s="2">
        <v>9.0101106E7</v>
      </c>
      <c r="F215" s="3" t="s">
        <v>399</v>
      </c>
      <c r="G215" s="2">
        <v>14.0</v>
      </c>
      <c r="H215" s="4">
        <f>IFERROR(__xludf.DUMMYFUNCTION("SPLIT(GETLATLONG(F215 &amp; "", "" &amp; B215), ""|"")"),-6.1823613)</f>
        <v>-6.1823613</v>
      </c>
      <c r="I215" s="5">
        <f>IFERROR(__xludf.DUMMYFUNCTION("""COMPUTED_VALUE"""),106.8916442)</f>
        <v>106.8916442</v>
      </c>
    </row>
    <row r="216">
      <c r="A216" s="2">
        <v>2024.0</v>
      </c>
      <c r="B216" s="3" t="s">
        <v>35</v>
      </c>
      <c r="C216" s="3" t="s">
        <v>167</v>
      </c>
      <c r="D216" s="3" t="s">
        <v>386</v>
      </c>
      <c r="E216" s="2">
        <v>9.0101111E7</v>
      </c>
      <c r="F216" s="3" t="s">
        <v>400</v>
      </c>
      <c r="G216" s="2">
        <v>13.0</v>
      </c>
      <c r="H216" s="4">
        <f>IFERROR(__xludf.DUMMYFUNCTION("SPLIT(GETLATLONG(F216 &amp; "", "" &amp; B216), ""|"")"),-6.1694466)</f>
        <v>-6.1694466</v>
      </c>
      <c r="I216" s="5">
        <f>IFERROR(__xludf.DUMMYFUNCTION("""COMPUTED_VALUE"""),106.7640204)</f>
        <v>106.7640204</v>
      </c>
    </row>
    <row r="217">
      <c r="A217" s="2">
        <v>2024.0</v>
      </c>
      <c r="B217" s="3" t="s">
        <v>35</v>
      </c>
      <c r="C217" s="3" t="s">
        <v>167</v>
      </c>
      <c r="D217" s="3" t="s">
        <v>401</v>
      </c>
      <c r="E217" s="2">
        <v>9.010112E7</v>
      </c>
      <c r="F217" s="3" t="s">
        <v>402</v>
      </c>
      <c r="G217" s="2">
        <v>52.0</v>
      </c>
      <c r="H217" s="4">
        <f>IFERROR(__xludf.DUMMYFUNCTION("SPLIT(GETLATLONG(F217 &amp; "", "" &amp; B217), ""|"")"),-6.18123)</f>
        <v>-6.18123</v>
      </c>
      <c r="I217" s="5">
        <f>IFERROR(__xludf.DUMMYFUNCTION("""COMPUTED_VALUE"""),106.7754055)</f>
        <v>106.7754055</v>
      </c>
    </row>
    <row r="218">
      <c r="A218" s="2">
        <v>2024.0</v>
      </c>
      <c r="B218" s="3" t="s">
        <v>18</v>
      </c>
      <c r="C218" s="3" t="s">
        <v>167</v>
      </c>
      <c r="D218" s="3" t="s">
        <v>403</v>
      </c>
      <c r="E218" s="2">
        <v>9.0101122E7</v>
      </c>
      <c r="F218" s="3" t="s">
        <v>404</v>
      </c>
      <c r="G218" s="2">
        <v>43.0</v>
      </c>
      <c r="H218" s="4">
        <f>IFERROR(__xludf.DUMMYFUNCTION("SPLIT(GETLATLONG(F218 &amp; "", "" &amp; B218), ""|"")"),-6.1313815)</f>
        <v>-6.1313815</v>
      </c>
      <c r="I218" s="5">
        <f>IFERROR(__xludf.DUMMYFUNCTION("""COMPUTED_VALUE"""),106.8210871)</f>
        <v>106.8210871</v>
      </c>
    </row>
    <row r="219">
      <c r="A219" s="2">
        <v>2024.0</v>
      </c>
      <c r="B219" s="3" t="s">
        <v>18</v>
      </c>
      <c r="C219" s="3" t="s">
        <v>167</v>
      </c>
      <c r="D219" s="3" t="s">
        <v>405</v>
      </c>
      <c r="E219" s="2">
        <v>9.0101123E7</v>
      </c>
      <c r="F219" s="3" t="s">
        <v>404</v>
      </c>
      <c r="G219" s="2">
        <v>17.0</v>
      </c>
      <c r="H219" s="4">
        <f>IFERROR(__xludf.DUMMYFUNCTION("SPLIT(GETLATLONG(F219 &amp; "", "" &amp; B219), ""|"")"),-6.1313815)</f>
        <v>-6.1313815</v>
      </c>
      <c r="I219" s="5">
        <f>IFERROR(__xludf.DUMMYFUNCTION("""COMPUTED_VALUE"""),106.8210871)</f>
        <v>106.8210871</v>
      </c>
    </row>
    <row r="220">
      <c r="A220" s="2">
        <v>2024.0</v>
      </c>
      <c r="B220" s="3" t="s">
        <v>18</v>
      </c>
      <c r="C220" s="3" t="s">
        <v>167</v>
      </c>
      <c r="D220" s="3" t="s">
        <v>406</v>
      </c>
      <c r="E220" s="2">
        <v>9.0101125E7</v>
      </c>
      <c r="F220" s="3" t="s">
        <v>407</v>
      </c>
      <c r="G220" s="2">
        <v>20.0</v>
      </c>
      <c r="H220" s="4">
        <f>IFERROR(__xludf.DUMMYFUNCTION("SPLIT(GETLATLONG(F220 &amp; "", "" &amp; B220), ""|"")"),-6.1266261)</f>
        <v>-6.1266261</v>
      </c>
      <c r="I220" s="5">
        <f>IFERROR(__xludf.DUMMYFUNCTION("""COMPUTED_VALUE"""),106.7655833)</f>
        <v>106.7655833</v>
      </c>
    </row>
    <row r="221">
      <c r="A221" s="2">
        <v>2024.0</v>
      </c>
      <c r="B221" s="3" t="s">
        <v>18</v>
      </c>
      <c r="C221" s="3" t="s">
        <v>167</v>
      </c>
      <c r="D221" s="3" t="s">
        <v>408</v>
      </c>
      <c r="E221" s="2">
        <v>9.0101126E7</v>
      </c>
      <c r="F221" s="3" t="s">
        <v>409</v>
      </c>
      <c r="G221" s="2">
        <v>46.0</v>
      </c>
      <c r="H221" s="4">
        <f>IFERROR(__xludf.DUMMYFUNCTION("SPLIT(GETLATLONG(F221 &amp; "", "" &amp; B221), ""|"")"),-6.1631076)</f>
        <v>-6.1631076</v>
      </c>
      <c r="I221" s="5">
        <f>IFERROR(__xludf.DUMMYFUNCTION("""COMPUTED_VALUE"""),106.9163638)</f>
        <v>106.9163638</v>
      </c>
    </row>
    <row r="222">
      <c r="A222" s="2">
        <v>2024.0</v>
      </c>
      <c r="B222" s="3" t="s">
        <v>35</v>
      </c>
      <c r="C222" s="3" t="s">
        <v>167</v>
      </c>
      <c r="D222" s="3" t="s">
        <v>410</v>
      </c>
      <c r="E222" s="2">
        <v>9.0101131E7</v>
      </c>
      <c r="F222" s="3" t="s">
        <v>394</v>
      </c>
      <c r="G222" s="2">
        <v>26.0</v>
      </c>
      <c r="H222" s="4">
        <f>IFERROR(__xludf.DUMMYFUNCTION("SPLIT(GETLATLONG(F222 &amp; "", "" &amp; B222), ""|"")"),-6.1935444)</f>
        <v>-6.1935444</v>
      </c>
      <c r="I222" s="5">
        <f>IFERROR(__xludf.DUMMYFUNCTION("""COMPUTED_VALUE"""),106.7419278)</f>
        <v>106.7419278</v>
      </c>
    </row>
    <row r="223">
      <c r="A223" s="2">
        <v>2024.0</v>
      </c>
      <c r="B223" s="3" t="s">
        <v>23</v>
      </c>
      <c r="C223" s="3" t="s">
        <v>167</v>
      </c>
      <c r="D223" s="3" t="s">
        <v>411</v>
      </c>
      <c r="E223" s="2">
        <v>9.0101133E7</v>
      </c>
      <c r="F223" s="3" t="s">
        <v>387</v>
      </c>
      <c r="G223" s="2">
        <v>41.0</v>
      </c>
      <c r="H223" s="4">
        <f>IFERROR(__xludf.DUMMYFUNCTION("SPLIT(GETLATLONG(F223 &amp; "", "" &amp; B223), ""|"")"),-6.2984038)</f>
        <v>-6.2984038</v>
      </c>
      <c r="I223" s="5">
        <f>IFERROR(__xludf.DUMMYFUNCTION("""COMPUTED_VALUE"""),106.7840191)</f>
        <v>106.7840191</v>
      </c>
    </row>
    <row r="224">
      <c r="A224" s="2">
        <v>2024.0</v>
      </c>
      <c r="B224" s="3" t="s">
        <v>23</v>
      </c>
      <c r="C224" s="3" t="s">
        <v>167</v>
      </c>
      <c r="D224" s="3" t="s">
        <v>412</v>
      </c>
      <c r="E224" s="2">
        <v>9.0101136E7</v>
      </c>
      <c r="F224" s="3" t="s">
        <v>413</v>
      </c>
      <c r="G224" s="2">
        <v>59.0</v>
      </c>
      <c r="H224" s="4">
        <f>IFERROR(__xludf.DUMMYFUNCTION("SPLIT(GETLATLONG(F224 &amp; "", "" &amp; B224), ""|"")"),-6.29349979999999)</f>
        <v>-6.2934998</v>
      </c>
      <c r="I224" s="5">
        <f>IFERROR(__xludf.DUMMYFUNCTION("""COMPUTED_VALUE"""),106.8043796)</f>
        <v>106.8043796</v>
      </c>
    </row>
    <row r="225">
      <c r="A225" s="2">
        <v>2024.0</v>
      </c>
      <c r="B225" s="3" t="s">
        <v>23</v>
      </c>
      <c r="C225" s="3" t="s">
        <v>167</v>
      </c>
      <c r="D225" s="3" t="s">
        <v>414</v>
      </c>
      <c r="E225" s="2">
        <v>9.0101137E7</v>
      </c>
      <c r="F225" s="3" t="s">
        <v>413</v>
      </c>
      <c r="G225" s="2">
        <v>48.0</v>
      </c>
      <c r="H225" s="4">
        <f>IFERROR(__xludf.DUMMYFUNCTION("SPLIT(GETLATLONG(F225 &amp; "", "" &amp; B225), ""|"")"),-6.29349979999999)</f>
        <v>-6.2934998</v>
      </c>
      <c r="I225" s="5">
        <f>IFERROR(__xludf.DUMMYFUNCTION("""COMPUTED_VALUE"""),106.8043796)</f>
        <v>106.8043796</v>
      </c>
    </row>
    <row r="226">
      <c r="A226" s="2">
        <v>2024.0</v>
      </c>
      <c r="B226" s="3" t="s">
        <v>35</v>
      </c>
      <c r="C226" s="3" t="s">
        <v>167</v>
      </c>
      <c r="D226" s="3" t="s">
        <v>415</v>
      </c>
      <c r="E226" s="2">
        <v>9.010114E7</v>
      </c>
      <c r="F226" s="3" t="s">
        <v>416</v>
      </c>
      <c r="G226" s="2">
        <v>16.0</v>
      </c>
      <c r="H226" s="4">
        <f>IFERROR(__xludf.DUMMYFUNCTION("SPLIT(GETLATLONG(F226 &amp; "", "" &amp; B226), ""|"")"),-6.186057)</f>
        <v>-6.186057</v>
      </c>
      <c r="I226" s="5">
        <f>IFERROR(__xludf.DUMMYFUNCTION("""COMPUTED_VALUE"""),106.7831661)</f>
        <v>106.7831661</v>
      </c>
    </row>
    <row r="227">
      <c r="A227" s="2">
        <v>2024.0</v>
      </c>
      <c r="B227" s="3" t="s">
        <v>23</v>
      </c>
      <c r="C227" s="3" t="s">
        <v>167</v>
      </c>
      <c r="D227" s="3" t="s">
        <v>411</v>
      </c>
      <c r="E227" s="2">
        <v>9.0101142E7</v>
      </c>
      <c r="F227" s="3" t="s">
        <v>417</v>
      </c>
      <c r="G227" s="2">
        <v>34.0</v>
      </c>
      <c r="H227" s="4">
        <f>IFERROR(__xludf.DUMMYFUNCTION("SPLIT(GETLATLONG(F227 &amp; "", "" &amp; B227), ""|"")"),-6.2846929)</f>
        <v>-6.2846929</v>
      </c>
      <c r="I227" s="5">
        <f>IFERROR(__xludf.DUMMYFUNCTION("""COMPUTED_VALUE"""),106.7918961)</f>
        <v>106.7918961</v>
      </c>
    </row>
    <row r="228">
      <c r="A228" s="2">
        <v>2024.0</v>
      </c>
      <c r="B228" s="3" t="s">
        <v>18</v>
      </c>
      <c r="C228" s="3" t="s">
        <v>167</v>
      </c>
      <c r="D228" s="3" t="s">
        <v>418</v>
      </c>
      <c r="E228" s="2">
        <v>9.0101157E7</v>
      </c>
      <c r="F228" s="3" t="s">
        <v>419</v>
      </c>
      <c r="G228" s="2">
        <v>5.0</v>
      </c>
      <c r="H228" s="4">
        <f>IFERROR(__xludf.DUMMYFUNCTION("SPLIT(GETLATLONG(F228 &amp; "", "" &amp; B228), ""|"")"),-6.1611756)</f>
        <v>-6.1611756</v>
      </c>
      <c r="I228" s="5">
        <f>IFERROR(__xludf.DUMMYFUNCTION("""COMPUTED_VALUE"""),106.9047904)</f>
        <v>106.9047904</v>
      </c>
    </row>
    <row r="229">
      <c r="A229" s="2">
        <v>2024.0</v>
      </c>
      <c r="B229" s="3" t="s">
        <v>18</v>
      </c>
      <c r="C229" s="3" t="s">
        <v>167</v>
      </c>
      <c r="D229" s="3" t="s">
        <v>420</v>
      </c>
      <c r="E229" s="2">
        <v>9.0101158E7</v>
      </c>
      <c r="F229" s="3" t="s">
        <v>419</v>
      </c>
      <c r="G229" s="2">
        <v>47.0</v>
      </c>
      <c r="H229" s="4">
        <f>IFERROR(__xludf.DUMMYFUNCTION("SPLIT(GETLATLONG(F229 &amp; "", "" &amp; B229), ""|"")"),-6.1611756)</f>
        <v>-6.1611756</v>
      </c>
      <c r="I229" s="5">
        <f>IFERROR(__xludf.DUMMYFUNCTION("""COMPUTED_VALUE"""),106.9047904)</f>
        <v>106.9047904</v>
      </c>
    </row>
    <row r="230">
      <c r="A230" s="2">
        <v>2024.0</v>
      </c>
      <c r="B230" s="3" t="s">
        <v>18</v>
      </c>
      <c r="C230" s="3" t="s">
        <v>167</v>
      </c>
      <c r="D230" s="3" t="s">
        <v>408</v>
      </c>
      <c r="E230" s="2">
        <v>9.0101166E7</v>
      </c>
      <c r="F230" s="3" t="s">
        <v>409</v>
      </c>
      <c r="G230" s="2">
        <v>2.0</v>
      </c>
      <c r="H230" s="4">
        <f>IFERROR(__xludf.DUMMYFUNCTION("SPLIT(GETLATLONG(F230 &amp; "", "" &amp; B230), ""|"")"),-6.1631076)</f>
        <v>-6.1631076</v>
      </c>
      <c r="I230" s="5">
        <f>IFERROR(__xludf.DUMMYFUNCTION("""COMPUTED_VALUE"""),106.9163638)</f>
        <v>106.9163638</v>
      </c>
    </row>
    <row r="231">
      <c r="A231" s="2">
        <v>2024.0</v>
      </c>
      <c r="B231" s="3" t="s">
        <v>23</v>
      </c>
      <c r="C231" s="3" t="s">
        <v>167</v>
      </c>
      <c r="D231" s="3" t="s">
        <v>421</v>
      </c>
      <c r="E231" s="2">
        <v>9.0101167E7</v>
      </c>
      <c r="F231" s="3" t="s">
        <v>417</v>
      </c>
      <c r="G231" s="2">
        <v>31.0</v>
      </c>
      <c r="H231" s="4">
        <f>IFERROR(__xludf.DUMMYFUNCTION("SPLIT(GETLATLONG(F231 &amp; "", "" &amp; B231), ""|"")"),-6.2846929)</f>
        <v>-6.2846929</v>
      </c>
      <c r="I231" s="5">
        <f>IFERROR(__xludf.DUMMYFUNCTION("""COMPUTED_VALUE"""),106.7918961)</f>
        <v>106.7918961</v>
      </c>
    </row>
    <row r="232">
      <c r="A232" s="2">
        <v>2024.0</v>
      </c>
      <c r="B232" s="3" t="s">
        <v>18</v>
      </c>
      <c r="C232" s="3" t="s">
        <v>167</v>
      </c>
      <c r="D232" s="3" t="s">
        <v>422</v>
      </c>
      <c r="E232" s="2">
        <v>9.0101176E7</v>
      </c>
      <c r="F232" s="3" t="s">
        <v>407</v>
      </c>
      <c r="G232" s="2">
        <v>51.0</v>
      </c>
      <c r="H232" s="4">
        <f>IFERROR(__xludf.DUMMYFUNCTION("SPLIT(GETLATLONG(F232 &amp; "", "" &amp; B232), ""|"")"),-6.1266261)</f>
        <v>-6.1266261</v>
      </c>
      <c r="I232" s="5">
        <f>IFERROR(__xludf.DUMMYFUNCTION("""COMPUTED_VALUE"""),106.7655833)</f>
        <v>106.7655833</v>
      </c>
    </row>
    <row r="233">
      <c r="A233" s="2">
        <v>2024.0</v>
      </c>
      <c r="B233" s="3" t="s">
        <v>23</v>
      </c>
      <c r="C233" s="3" t="s">
        <v>24</v>
      </c>
      <c r="D233" s="3" t="s">
        <v>423</v>
      </c>
      <c r="E233" s="3" t="s">
        <v>424</v>
      </c>
      <c r="F233" s="3" t="s">
        <v>425</v>
      </c>
      <c r="G233" s="2">
        <v>168.0</v>
      </c>
      <c r="H233" s="4">
        <f>IFERROR(__xludf.DUMMYFUNCTION("SPLIT(GETLATLONG(F233 &amp; "", "" &amp; B233), ""|"")"),-6.2753101)</f>
        <v>-6.2753101</v>
      </c>
      <c r="I233" s="5">
        <f>IFERROR(__xludf.DUMMYFUNCTION("""COMPUTED_VALUE"""),106.8009692)</f>
        <v>106.8009692</v>
      </c>
    </row>
    <row r="234">
      <c r="A234" s="2">
        <v>2024.0</v>
      </c>
      <c r="B234" s="3" t="s">
        <v>23</v>
      </c>
      <c r="C234" s="3" t="s">
        <v>10</v>
      </c>
      <c r="D234" s="3" t="s">
        <v>426</v>
      </c>
      <c r="E234" s="3" t="s">
        <v>427</v>
      </c>
      <c r="F234" s="3" t="s">
        <v>425</v>
      </c>
      <c r="G234" s="2">
        <v>56.0</v>
      </c>
      <c r="H234" s="4">
        <f>IFERROR(__xludf.DUMMYFUNCTION("SPLIT(GETLATLONG(F234 &amp; "", "" &amp; B234), ""|"")"),-6.2753101)</f>
        <v>-6.2753101</v>
      </c>
      <c r="I234" s="5">
        <f>IFERROR(__xludf.DUMMYFUNCTION("""COMPUTED_VALUE"""),106.8009692)</f>
        <v>106.8009692</v>
      </c>
    </row>
    <row r="235">
      <c r="A235" s="2">
        <v>2024.0</v>
      </c>
      <c r="B235" s="3" t="s">
        <v>23</v>
      </c>
      <c r="C235" s="3" t="s">
        <v>167</v>
      </c>
      <c r="D235" s="3" t="s">
        <v>428</v>
      </c>
      <c r="E235" s="3" t="s">
        <v>429</v>
      </c>
      <c r="F235" s="3" t="s">
        <v>425</v>
      </c>
      <c r="G235" s="2">
        <v>25.0</v>
      </c>
      <c r="H235" s="4">
        <f>IFERROR(__xludf.DUMMYFUNCTION("SPLIT(GETLATLONG(F235 &amp; "", "" &amp; B235), ""|"")"),-6.2753101)</f>
        <v>-6.2753101</v>
      </c>
      <c r="I235" s="5">
        <f>IFERROR(__xludf.DUMMYFUNCTION("""COMPUTED_VALUE"""),106.8009692)</f>
        <v>106.8009692</v>
      </c>
    </row>
    <row r="236">
      <c r="A236" s="2">
        <v>2024.0</v>
      </c>
      <c r="B236" s="3" t="s">
        <v>23</v>
      </c>
      <c r="C236" s="3" t="s">
        <v>13</v>
      </c>
      <c r="D236" s="3" t="s">
        <v>430</v>
      </c>
      <c r="E236" s="3" t="s">
        <v>431</v>
      </c>
      <c r="F236" s="3" t="s">
        <v>425</v>
      </c>
      <c r="G236" s="2">
        <v>75.0</v>
      </c>
      <c r="H236" s="4">
        <f>IFERROR(__xludf.DUMMYFUNCTION("SPLIT(GETLATLONG(F236 &amp; "", "" &amp; B236), ""|"")"),-6.2753101)</f>
        <v>-6.2753101</v>
      </c>
      <c r="I236" s="5">
        <f>IFERROR(__xludf.DUMMYFUNCTION("""COMPUTED_VALUE"""),106.8009692)</f>
        <v>106.8009692</v>
      </c>
    </row>
    <row r="237">
      <c r="A237" s="2">
        <v>2024.0</v>
      </c>
      <c r="B237" s="3" t="s">
        <v>18</v>
      </c>
      <c r="C237" s="3" t="s">
        <v>167</v>
      </c>
      <c r="D237" s="3" t="s">
        <v>432</v>
      </c>
      <c r="E237" s="2">
        <v>6.9903616E7</v>
      </c>
      <c r="F237" s="3" t="s">
        <v>433</v>
      </c>
      <c r="G237" s="2">
        <v>0.0</v>
      </c>
      <c r="H237" s="4">
        <f>IFERROR(__xludf.DUMMYFUNCTION("SPLIT(GETLATLONG(F237 &amp; "", "" &amp; B237), ""|"")"),-6.1123232)</f>
        <v>-6.1123232</v>
      </c>
      <c r="I237" s="5">
        <f>IFERROR(__xludf.DUMMYFUNCTION("""COMPUTED_VALUE"""),106.74422)</f>
        <v>106.74422</v>
      </c>
    </row>
    <row r="238">
      <c r="A238" s="2">
        <v>2024.0</v>
      </c>
      <c r="B238" s="3" t="s">
        <v>23</v>
      </c>
      <c r="C238" s="3" t="s">
        <v>24</v>
      </c>
      <c r="D238" s="3" t="s">
        <v>434</v>
      </c>
      <c r="E238" s="2">
        <v>6.9883259E7</v>
      </c>
      <c r="F238" s="3" t="s">
        <v>435</v>
      </c>
      <c r="G238" s="2">
        <v>0.0</v>
      </c>
      <c r="H238" s="4">
        <f>IFERROR(__xludf.DUMMYFUNCTION("SPLIT(GETLATLONG(F238 &amp; "", "" &amp; B238), ""|"")"),-6.286097)</f>
        <v>-6.286097</v>
      </c>
      <c r="I238" s="5">
        <f>IFERROR(__xludf.DUMMYFUNCTION("""COMPUTED_VALUE"""),106.8111378)</f>
        <v>106.8111378</v>
      </c>
    </row>
    <row r="239">
      <c r="A239" s="2">
        <v>2024.0</v>
      </c>
      <c r="B239" s="3" t="s">
        <v>18</v>
      </c>
      <c r="C239" s="3" t="s">
        <v>167</v>
      </c>
      <c r="D239" s="3" t="s">
        <v>436</v>
      </c>
      <c r="E239" s="2">
        <v>6.9958469E7</v>
      </c>
      <c r="F239" s="3" t="s">
        <v>437</v>
      </c>
      <c r="G239" s="2">
        <v>0.0</v>
      </c>
      <c r="H239" s="4">
        <f>IFERROR(__xludf.DUMMYFUNCTION("SPLIT(GETLATLONG(F239 &amp; "", "" &amp; B239), ""|"")"),-6.1087622)</f>
        <v>-6.1087622</v>
      </c>
      <c r="I239" s="5">
        <f>IFERROR(__xludf.DUMMYFUNCTION("""COMPUTED_VALUE"""),106.7365709)</f>
        <v>106.7365709</v>
      </c>
    </row>
    <row r="240">
      <c r="A240" s="2">
        <v>2024.0</v>
      </c>
      <c r="B240" s="3" t="s">
        <v>35</v>
      </c>
      <c r="C240" s="3" t="s">
        <v>167</v>
      </c>
      <c r="D240" s="3" t="s">
        <v>438</v>
      </c>
      <c r="E240" s="2">
        <v>6.9911635E7</v>
      </c>
      <c r="F240" s="3" t="s">
        <v>439</v>
      </c>
      <c r="G240" s="2">
        <v>0.0</v>
      </c>
      <c r="H240" s="4">
        <f>IFERROR(__xludf.DUMMYFUNCTION("SPLIT(GETLATLONG(F240 &amp; "", "" &amp; B240), ""|"")"),-6.1855031)</f>
        <v>-6.1855031</v>
      </c>
      <c r="I240" s="5">
        <f>IFERROR(__xludf.DUMMYFUNCTION("""COMPUTED_VALUE"""),106.752836)</f>
        <v>106.752836</v>
      </c>
    </row>
    <row r="241">
      <c r="A241" s="2">
        <v>2024.0</v>
      </c>
      <c r="B241" s="3" t="s">
        <v>23</v>
      </c>
      <c r="C241" s="3" t="s">
        <v>167</v>
      </c>
      <c r="D241" s="3" t="s">
        <v>440</v>
      </c>
      <c r="E241" s="2">
        <v>9.0101148E7</v>
      </c>
      <c r="F241" s="3" t="s">
        <v>441</v>
      </c>
      <c r="G241" s="2">
        <v>0.0</v>
      </c>
      <c r="H241" s="4">
        <f>IFERROR(__xludf.DUMMYFUNCTION("SPLIT(GETLATLONG(F241 &amp; "", "" &amp; B241), ""|"")"),-6.286097)</f>
        <v>-6.286097</v>
      </c>
      <c r="I241" s="5">
        <f>IFERROR(__xludf.DUMMYFUNCTION("""COMPUTED_VALUE"""),106.8111378)</f>
        <v>106.8111378</v>
      </c>
    </row>
    <row r="242">
      <c r="A242" s="2">
        <v>2024.0</v>
      </c>
      <c r="B242" s="3" t="s">
        <v>78</v>
      </c>
      <c r="C242" s="3" t="s">
        <v>167</v>
      </c>
      <c r="D242" s="3" t="s">
        <v>442</v>
      </c>
      <c r="E242" s="2">
        <v>2.0112209E7</v>
      </c>
      <c r="F242" s="3" t="s">
        <v>443</v>
      </c>
      <c r="G242" s="2">
        <v>0.0</v>
      </c>
      <c r="H242" s="4">
        <f>IFERROR(__xludf.DUMMYFUNCTION("SPLIT(GETLATLONG(F242 &amp; "", "" &amp; B242), ""|"")"),-6.3105723)</f>
        <v>-6.3105723</v>
      </c>
      <c r="I242" s="5">
        <f>IFERROR(__xludf.DUMMYFUNCTION("""COMPUTED_VALUE"""),106.9187772)</f>
        <v>106.9187772</v>
      </c>
    </row>
    <row r="243">
      <c r="A243" s="2">
        <v>2024.0</v>
      </c>
      <c r="B243" s="3" t="s">
        <v>23</v>
      </c>
      <c r="C243" s="3" t="s">
        <v>167</v>
      </c>
      <c r="D243" s="3" t="s">
        <v>444</v>
      </c>
      <c r="E243" s="2">
        <v>7.000733E7</v>
      </c>
      <c r="F243" s="3" t="s">
        <v>445</v>
      </c>
      <c r="G243" s="2">
        <v>0.0</v>
      </c>
      <c r="H243" s="4">
        <f>IFERROR(__xludf.DUMMYFUNCTION("SPLIT(GETLATLONG(F243 &amp; "", "" &amp; B243), ""|"")"),-6.286097)</f>
        <v>-6.286097</v>
      </c>
      <c r="I243" s="5">
        <f>IFERROR(__xludf.DUMMYFUNCTION("""COMPUTED_VALUE"""),106.8111378)</f>
        <v>106.8111378</v>
      </c>
    </row>
  </sheetData>
  <drawing r:id="rId1"/>
</worksheet>
</file>